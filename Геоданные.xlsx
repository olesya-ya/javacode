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ebys\Desktop\"/>
    </mc:Choice>
  </mc:AlternateContent>
  <bookViews>
    <workbookView xWindow="0" yWindow="0" windowWidth="23040" windowHeight="10632" activeTab="1"/>
  </bookViews>
  <sheets>
    <sheet name="Адреса" sheetId="1" r:id="rId1"/>
    <sheet name="Координаты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2" i="2" l="1"/>
  <c r="C102" i="2"/>
  <c r="H103" i="1"/>
  <c r="I10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H3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<sst xmlns="http://schemas.openxmlformats.org/spreadsheetml/2006/main" count="510" uniqueCount="498">
  <si>
    <t>109012, г. Москва, Красная площадь, д. 1</t>
  </si>
  <si>
    <t>125009, г. Москва, Тверская ул., д. 7</t>
  </si>
  <si>
    <t>101000, г. Москва, ул. Мясницкая, д. 26</t>
  </si>
  <si>
    <t>119019, г. Москва, ул. Арбат, д. 51</t>
  </si>
  <si>
    <t>127006, г. Москва, ул. Новый Арбат, д. 15</t>
  </si>
  <si>
    <t>115035, г. Москва, ул. Пятницкая, д. 62</t>
  </si>
  <si>
    <t>107031, г. Москва, Кузнецкий Мост ул., д.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</si>
  <si>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</si>
  <si>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</si>
  <si>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</si>
  <si>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620014, г. Екатеринбург, ул. 8 Марта, д. 13</t>
  </si>
  <si>
    <t>630099, г. Новосибирск, Красный проспект, д.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</si>
  <si>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</si>
  <si>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</si>
  <si>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</si>
  <si>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454091, г. Челябинск, пр. Ленина, д. 57</t>
  </si>
  <si>
    <t>644099, г. Омск, ул. Ленина, д. 10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</si>
  <si>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</si>
  <si>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</si>
  <si>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</si>
  <si>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690091, г. Владивосток, ул. Светланская, д. 20</t>
  </si>
  <si>
    <t>236006, г. Калининград, Ленинский пр., д. 30</t>
  </si>
  <si>
    <t>664003, г. Иркутск, ул. Ленина, д. 14</t>
  </si>
  <si>
    <t>183038, г. Мурманск, пр. Ленина, д. 75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</si>
  <si>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</si>
  <si>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</si>
  <si>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</si>
  <si>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</si>
  <si>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</si>
  <si>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354000, г. Сочи, Курортный пр., д. 103</t>
  </si>
  <si>
    <t>614000, г. Пермь, ул. Ленина, д. 58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</si>
  <si>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</si>
  <si>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</si>
  <si>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</si>
  <si>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</si>
  <si>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445044, г. Тольятти, Южное шоссе, д. 36</t>
  </si>
  <si>
    <t>426008, г. Ижевск, ул. Пушкинская, д. 216</t>
  </si>
  <si>
    <t>656043, г. Барнаул, пр. Ленина, д. 54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</si>
  <si>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</si>
  <si>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</si>
  <si>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</si>
  <si>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180000, г. Псков, Октябрьский пр., д. 36</t>
  </si>
  <si>
    <t>214000, г. Смоленск, ул. Большая Советская, д. 11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</si>
  <si>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</si>
  <si>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</si>
  <si>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</si>
  <si>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</si>
  <si>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</si>
  <si>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</si>
  <si>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</si>
  <si>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385000, г. Майкоп, ул. Краснооктябрьская, д. 29</t>
  </si>
  <si>
    <t>426034, г. Ижевск, ул. Советская, д. 1</t>
  </si>
  <si>
    <t>667010, г. Кызыл, ул. Ленина, д. 33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</si>
  <si>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</si>
  <si>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</si>
  <si>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</si>
  <si>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</si>
  <si>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685000, г. Магадан, пр. Ленина, д. 2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</si>
  <si>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</si>
  <si>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</si>
  <si>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</si>
  <si>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</si>
  <si>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</si>
  <si>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188800, Ленинградская обл., г. Выборг, ул. Крепостная, д. 25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</si>
  <si>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</si>
  <si>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</si>
  <si>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</si>
  <si>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</si>
  <si>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</si>
  <si>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</si>
  <si>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141411, Московская обл., г. Химки, ул. Московская, д. 15</t>
  </si>
  <si>
    <t>143980, Московская обл., г. Железнодорожный, ул. Советская, д. 9</t>
  </si>
  <si>
    <t>196240, г. Санкт-Петербург, Московский пр., д. 216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</si>
  <si>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</si>
  <si>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</si>
  <si>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</si>
  <si>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</si>
  <si>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</si>
  <si>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</si>
  <si>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</si>
  <si>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</si>
  <si>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</si>
  <si>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</si>
  <si>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</si>
  <si>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</si>
  <si>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</si>
  <si>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</si>
  <si>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</si>
  <si>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</si>
  <si>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</si>
  <si>
    <t>Адреса</t>
  </si>
  <si>
    <t>Координаты</t>
  </si>
  <si>
    <t>55.753544, 37.621202</t>
  </si>
  <si>
    <t>59.939131, 30.315882</t>
  </si>
  <si>
    <t>55.796289, 49.108980</t>
  </si>
  <si>
    <t>56.328674, 44.002059</t>
  </si>
  <si>
    <t>54.989347, 73.368221</t>
  </si>
  <si>
    <t>53.195538, 50.100202</t>
  </si>
  <si>
    <t>47.222531, 39.718705</t>
  </si>
  <si>
    <t>56.838002, 60.597295</t>
  </si>
  <si>
    <t>55.041500, 82.934600</t>
  </si>
  <si>
    <t>56.852544, 53.204843</t>
  </si>
  <si>
    <t>45.043317, 38.975882</t>
  </si>
  <si>
    <t>48.719390, 44.501840</t>
  </si>
  <si>
    <t>54.734853, 55.957855</t>
  </si>
  <si>
    <t>58.520721, 31.301470</t>
  </si>
  <si>
    <t>59.557049, 150.803543</t>
  </si>
  <si>
    <t>43.585525, 39.723062</t>
  </si>
  <si>
    <t>44.616650, 33.525366</t>
  </si>
  <si>
    <t>60.153033, 59.986748</t>
  </si>
  <si>
    <t>51.768199, 55.096955</t>
  </si>
  <si>
    <t>53.361406, 55.925674</t>
  </si>
  <si>
    <t>55.028190, 82.921447</t>
  </si>
  <si>
    <t>56.484640, 84.948183</t>
  </si>
  <si>
    <t>53.355127, 83.692948</t>
  </si>
  <si>
    <t>52.297781, 104.296422</t>
  </si>
  <si>
    <t>61.257447, 73.397448</t>
  </si>
  <si>
    <t>66.529323, 66.614426</t>
  </si>
  <si>
    <t>67.639895, 53.006729</t>
  </si>
  <si>
    <t>68.958527, 33.082931</t>
  </si>
  <si>
    <t>59.603392, 150.851941</t>
  </si>
  <si>
    <t>46.349272, 48.034981</t>
  </si>
  <si>
    <t>44.958820, 34.109917</t>
  </si>
  <si>
    <t>57.626569, 39.893822</t>
  </si>
  <si>
    <t>54.782712, 32.045287</t>
  </si>
  <si>
    <t>51.675454, 39.208828</t>
  </si>
  <si>
    <t>53.243325, 34.363991</t>
  </si>
  <si>
    <t>54.513845, 36.261215</t>
  </si>
  <si>
    <t>55.830430, 49.066082</t>
  </si>
  <si>
    <t>56.633213, 47.895285</t>
  </si>
  <si>
    <t>58.461335, 92.130349</t>
  </si>
  <si>
    <t>52.033681, 113.500702</t>
  </si>
  <si>
    <t>52.269310, 104.278237</t>
  </si>
  <si>
    <t>61.257588, 73.425722</t>
  </si>
  <si>
    <t>56.462089, 84.975206</t>
  </si>
  <si>
    <t>53.360749, 83.763647</t>
  </si>
  <si>
    <t>55.030204, 82.920430</t>
  </si>
  <si>
    <t>54.853096, 83.105735</t>
  </si>
  <si>
    <t>55.018196, 82.933618</t>
  </si>
  <si>
    <t>56.112184, 47.244961</t>
  </si>
  <si>
    <t>54.625146, 39.734957</t>
  </si>
  <si>
    <t>53.203434, 50.160491</t>
  </si>
  <si>
    <t>44.723489, 37.768031</t>
  </si>
  <si>
    <t>43.682570, 40.288311</t>
  </si>
  <si>
    <t>42.874621, 131.635617</t>
  </si>
  <si>
    <t>48.482707, 135.078971</t>
  </si>
  <si>
    <t>50.290406, 127.527210</t>
  </si>
  <si>
    <t>52.033097, 113.501114</t>
  </si>
  <si>
    <t>56.600562, 57.758219</t>
  </si>
  <si>
    <t>58.000000, 56.316666</t>
  </si>
  <si>
    <t>57.152985, 65.541227</t>
  </si>
  <si>
    <t>55.442201, 65.341118</t>
  </si>
  <si>
    <t>54.436231, 61.254593</t>
  </si>
  <si>
    <t>53.451735, 59.067332</t>
  </si>
  <si>
    <t>51.530018, 46.034657</t>
  </si>
  <si>
    <t>53.373896, 55.935023</t>
  </si>
  <si>
    <t>54.736237, 55.966153</t>
  </si>
  <si>
    <t>56.132222, 47.251944</t>
  </si>
  <si>
    <t>55.784183, 49.124128</t>
  </si>
  <si>
    <t>57.152222, 65.527222</t>
  </si>
  <si>
    <t>58.043056, 60.553889</t>
  </si>
  <si>
    <t>59.076667, 37.901111</t>
  </si>
  <si>
    <t>58.461111, 92.148611</t>
  </si>
  <si>
    <t>59.562500, 150.803611</t>
  </si>
  <si>
    <t>53.016667, 158.650000</t>
  </si>
  <si>
    <t>62.033889, 129.733056</t>
  </si>
  <si>
    <t>62.027222, 129.731944</t>
  </si>
  <si>
    <t>56.753690, 37.193314</t>
  </si>
  <si>
    <t>56.342500, 37.520278</t>
  </si>
  <si>
    <t>54.920000, 37.410000</t>
  </si>
  <si>
    <t>55.616667, 37.650000</t>
  </si>
  <si>
    <t>55.914167, 37.825000</t>
  </si>
  <si>
    <t>55.900000, 37.583333</t>
  </si>
  <si>
    <t>55.869444, 37.661667</t>
  </si>
  <si>
    <t>55.761111, 37.656389</t>
  </si>
  <si>
    <t>55.733890, 37.587129</t>
  </si>
  <si>
    <t>55.678333, 37.893333</t>
  </si>
  <si>
    <t>55.630556, 37.800556</t>
  </si>
  <si>
    <t>55.580556, 37.693611</t>
  </si>
  <si>
    <t>55.550000, 37.700000</t>
  </si>
  <si>
    <t>55.533333, 37.483333</t>
  </si>
  <si>
    <t>55.508333, 37.326389</t>
  </si>
  <si>
    <t>55.433333, 37.550000</t>
  </si>
  <si>
    <t>55.422500, 37.554167</t>
  </si>
  <si>
    <t>55.383333, 37.550000</t>
  </si>
  <si>
    <t>55.350000, 37.616667</t>
  </si>
  <si>
    <t>55.333333, 37.750000</t>
  </si>
  <si>
    <t>55.316667, 38.650000</t>
  </si>
  <si>
    <t>55.183333, 37.966667</t>
  </si>
  <si>
    <t>55.116667, 38.766667</t>
  </si>
  <si>
    <t>55.012222, 82.935556</t>
  </si>
  <si>
    <t>Яндекс. Геокодер</t>
  </si>
  <si>
    <t>190000, г. Санкт-Петербург, Невский пр., д. 28</t>
  </si>
  <si>
    <t>191186, г. Санкт-Петербург, Дворцовая площадь, д. 2</t>
  </si>
  <si>
    <t>191023, г. Санкт-Петербург, набережная реки Фонтанки, д. 62</t>
  </si>
  <si>
    <t>190031, г. Санкт-Петербург, Садовая ул., д. 54</t>
  </si>
  <si>
    <t>191011, г. Санкт-Петербург, ул. Итальянская, д. 25</t>
  </si>
  <si>
    <t>191002, г. Санкт-Петербург, Литейный пр., д. 51</t>
  </si>
  <si>
    <t>197046, г. Санкт-Петербург, ул. Куйбышева, д. 4</t>
  </si>
  <si>
    <t>199034, г. Санкт-Петербург, Университетская наб., д. 7</t>
  </si>
  <si>
    <t>191124, г. Санкт-Петербург, ул. Чайковского, д. 39</t>
  </si>
  <si>
    <t>191014, г. Санкт-Петербург, Литейный пр., д. 60</t>
  </si>
  <si>
    <t>"109012, г Москва, Тверской р-н, Красная пл, д 9"</t>
  </si>
  <si>
    <t>"г Санкт-Петербург, Центральный р-н, Дворцовая пл"</t>
  </si>
  <si>
    <t>"420111, Респ Татарстан, г Казань, Вахитовский р-н, ул Кремлевская, д 1"</t>
  </si>
  <si>
    <t>"603082, Нижегородская обл, г Нижний Новгород, Нижегородский р-н, тер Кремль, к 1"</t>
  </si>
  <si>
    <t>"644099, Омская обл, г Омск, Центральный округ, ул Тарская, д 4"</t>
  </si>
  <si>
    <t>"443010, Самарская обл, г Самара, Ленинский р-н, ул Рабочая, д 4"</t>
  </si>
  <si>
    <t>"344006, Ростовская обл, г Ростов-на-Дону, Ворошиловский пр-кт, д 16/71"</t>
  </si>
  <si>
    <t>"620000, Свердловская обл, г Екатеринбург, пр-кт Ленина, д 29"</t>
  </si>
  <si>
    <t>"630005, Новосибирская обл, г Новосибирск, Центральный р-н, ул Ольги Жилиной, д 60"</t>
  </si>
  <si>
    <t>"426008, Удмуртская Респ, г Ижевск, ул Карла Маркса, д 242"</t>
  </si>
  <si>
    <t>"350020, Краснодарский край, г Краснодар, ул Красная, д 135"</t>
  </si>
  <si>
    <t>"400012, Волгоградская обл, г Волгоград, Дзержинский р-н, ул Черноморская, д 50"</t>
  </si>
  <si>
    <t>"450077, Респ Башкортостан, г Уфа, ул Цюрупы, д 93А"</t>
  </si>
  <si>
    <t>"173000, Новгородская обл, г Великий Новгород"</t>
  </si>
  <si>
    <t>"685024, Магаданская обл, г Магадан, ул Гагарина, д 14"</t>
  </si>
  <si>
    <t>"354061, Краснодарский край, г Сочи, ул Советская, д 26"</t>
  </si>
  <si>
    <t>"299011, г Севастополь, Ленинский р-н, пл Нахимова, зд 5"</t>
  </si>
  <si>
    <t>"624480, Свердловская обл, г Североуральск"</t>
  </si>
  <si>
    <t>"460006, Оренбургская обл, г Оренбург, ул Цвиллинга, д 2"</t>
  </si>
  <si>
    <t>"453261, Респ Башкортостан, г Салават, пр-кт Нефтяников, д 1"</t>
  </si>
  <si>
    <t>"630099, Новосибирская обл, г Новосибирск, Центральный р-н, Красный пр-кт, д 32"</t>
  </si>
  <si>
    <t>"634050, Томская обл, г Томск, ул Набережная реки Ушайки, д 18а к Б"</t>
  </si>
  <si>
    <t>"656066, Алтайский край, г Барнаул, Индустриальный р-н, ул Одесская, д 7"</t>
  </si>
  <si>
    <t>"664000, Иркутская обл, г Иркутск"</t>
  </si>
  <si>
    <t>"628417, Ханты-Мансийский Автономный округ - Югра, г Сургут, ул Бажова, д 2в"</t>
  </si>
  <si>
    <t xml:space="preserve"> "629004, Ямало-Ненецкий АО, г Салехард, ул Республики, влд 65"</t>
  </si>
  <si>
    <t>"166000, Ненецкий АО, г Нарьян-Мар, ул Смидовича, д 21"</t>
  </si>
  <si>
    <t>"183039, Мурманская обл, г Мурманск, ул Полярные Зори, д 14"</t>
  </si>
  <si>
    <t xml:space="preserve"> "685000, Магаданская обл, г Магадан"</t>
  </si>
  <si>
    <t>"414000, Астраханская обл, г Астрахань, ул Василия Тредиаковского, д 7"</t>
  </si>
  <si>
    <t>"295034, Респ Крым, г Симферополь, ул Киевская, д 77"</t>
  </si>
  <si>
    <t>"150000, Ярославская обл, г Ярославль, Советская пл, д 7"</t>
  </si>
  <si>
    <t>"Смоленская обл, г Смоленск, пл Ленина"</t>
  </si>
  <si>
    <t>"394036, Воронежская обл, г Воронеж, ул Фридриха Энгельса, д 7"</t>
  </si>
  <si>
    <t>"241050, Брянская обл, г Брянск, Советский р-н, б-р Гагарина, д 18"</t>
  </si>
  <si>
    <t>"248000, Калужская обл, г Калуга, ул Московская, д 19"</t>
  </si>
  <si>
    <t>"420095, Респ Татарстан, г Казань, Московский р-н, ул Шамиля Усманова, д 29"</t>
  </si>
  <si>
    <t>"424000, Респ Марий Эл, г Йошкар-Ола, ул Советская, д 138"</t>
  </si>
  <si>
    <t>"663180, Красноярский край, Енисейский р-н, г Енисейск, ул Рабоче-Крестьянская, д 225"</t>
  </si>
  <si>
    <t>"Забайкальский край, г Чита, пл Ленина"</t>
  </si>
  <si>
    <t xml:space="preserve"> "628426, Ханты-Мансийский Автономный округ - Югра, г Сургут, пр-кт Мира, д 55/1"</t>
  </si>
  <si>
    <t>"634012, Томская обл, г Томск, ул Киевская, д 84"</t>
  </si>
  <si>
    <t xml:space="preserve"> "656002, Алтайский край, г Барнаул, Октябрьский р-н, пр-кт Ленина, д 102Б"</t>
  </si>
  <si>
    <t>"Новосибирская обл, г Новосибирск, метро Площадь Ленина"</t>
  </si>
  <si>
    <t xml:space="preserve"> "630090, Новосибирская обл, г Новосибирск, Советский р-н, пр-кт Академика Лаврентьева, д 5/8"</t>
  </si>
  <si>
    <t>"630102, Новосибирская обл, г Новосибирск, Октябрьский р-н, ул Шевченко, д 3",</t>
  </si>
  <si>
    <t>"428003, Чувашская Республика - Чувашия, г Чебоксары, ул Федора Гладкова, д 18А"</t>
  </si>
  <si>
    <t>"390000, Рязанская обл, г Рязань, ул Маяковского, д 81"</t>
  </si>
  <si>
    <t>"443079, Самарская обл, г Самара, Октябрьский р-н, Московское шоссе, д 17г"</t>
  </si>
  <si>
    <t>"353900, Краснодарский край, г Новороссийск, ул Советов, д 7"</t>
  </si>
  <si>
    <t>"680000, Хабаровский край, г Хабаровск, Железнодорожный р-н, ул Карла Маркса, д 62"</t>
  </si>
  <si>
    <t xml:space="preserve">
             "675000, Амурская обл, г Благовещенск"</t>
  </si>
  <si>
    <t>"623300, Свердловская обл, г Красноуфимск, ул Ухтомского, д 33"</t>
  </si>
  <si>
    <t>"614000, Пермский край, г Пермь"</t>
  </si>
  <si>
    <t xml:space="preserve"> "Тюменская обл, г Тюмень, Центральная пл"</t>
  </si>
  <si>
    <t>"640002, Курганская обл, г Курган, ул Пушкина, д 163"</t>
  </si>
  <si>
    <t>"457042, Челябинская обл, г Южноуральск, ул Челябинская, д 102А"</t>
  </si>
  <si>
    <t>"455000, Челябинская обл, г Магнитогорск"</t>
  </si>
  <si>
    <t>"410012, Саратовская обл, г Саратов, Фрунзенский р-н, пр-кт им Петра Столыпина, д 1"</t>
  </si>
  <si>
    <t>"453250, Респ Башкортостан, г Салават"</t>
  </si>
  <si>
    <t xml:space="preserve">
        "450005, Респ Башкортостан, г Уфа, Советский р-н, ул 50-летия Октября, д 12"</t>
  </si>
  <si>
    <t xml:space="preserve"> "428000, Чувашская Республика - Чувашия, г Чебоксары"</t>
  </si>
  <si>
    <t xml:space="preserve"> "420107, Респ Татарстан, г Казань, Вахитовский р-н, ул Островского, д 57Б"</t>
  </si>
  <si>
    <t xml:space="preserve"> "603082, Нижегородская обл, г Нижний Новгород, Нижегородский р-н, тер Кремль, к 1"</t>
  </si>
  <si>
    <t>"625003, Тюменская обл, г Тюмень, ул Крупской, д 21"</t>
  </si>
  <si>
    <t>"624760, Свердловская обл, Верхнесалдинский р-н, г Верхняя Салда, ул Ленина, д 31"</t>
  </si>
  <si>
    <t>"685000, Магаданская обл, г Магадан, пр-кт Ленина, д 21А"</t>
  </si>
  <si>
    <t xml:space="preserve"> "683001, Камчатский край, г Петропавловск-Камчатский, ул Советская, д 21"</t>
  </si>
  <si>
    <t>"677000, Респ Саха (Якутия), г Якутск, ул Курашова, д 31"</t>
  </si>
  <si>
    <t>"677000, Респ Саха (Якутия), г Якутск, пл Ленина"</t>
  </si>
  <si>
    <t>"141980, Московская обл, г Дубна, ул В.И.Векслера, д 19"</t>
  </si>
  <si>
    <t>"141800, Московская обл, г Дмитров, ул Загорская, д 32А"</t>
  </si>
  <si>
    <t>"142200, Московская обл, г Серпухов, ул Верхняя Серпейка, д 5"</t>
  </si>
  <si>
    <t>"115516, г Москва, р-н Царицыно, ул Бехтерева, д 45 к 2"</t>
  </si>
  <si>
    <t>"141070, Московская обл, г Королёв, ул Пионерская, д 49а"</t>
  </si>
  <si>
    <t>"127572, г Москва, р-н Лианозово, ул Новгородская, д 22 к 1"</t>
  </si>
  <si>
    <t>"129327, г Москва, ул Менжинского, д 23 стр 1"</t>
  </si>
  <si>
    <r>
      <t> </t>
    </r>
    <r>
      <rPr>
        <sz val="7"/>
        <color rgb="FFCE9178"/>
        <rFont val="Courier New"/>
        <family val="3"/>
        <charset val="204"/>
      </rPr>
      <t>"105064, г Москва, Басманный р-н, ул Земляной Вал, д 14-16 стр 3"</t>
    </r>
    <r>
      <rPr>
        <sz val="7"/>
        <color rgb="FFDCDCDC"/>
        <rFont val="Courier New"/>
        <family val="3"/>
        <charset val="204"/>
      </rPr>
      <t>,</t>
    </r>
  </si>
  <si>
    <t>"119021, г Москва, р-н Хамовники, ул Льва Толстого, д 19"</t>
  </si>
  <si>
    <t xml:space="preserve"> "140000, Московская обл, г Люберцы, Октябрьский пр-кт, д 178"</t>
  </si>
  <si>
    <t>"109649, г Москва, р-н Капотня, кв-л 5-й Капотня, д 20А"</t>
  </si>
  <si>
    <t>"115598, г Москва, Бирюлево Восточное р-н, МКАД 26-й км, влд 10"</t>
  </si>
  <si>
    <t>"142703, Московская обл, г Видное, Солнечный мкр, д 4"</t>
  </si>
  <si>
    <t>"117041, г Москва, р-н Южное Бутово, Новопотаповский проезд, двлд 3 к 5"</t>
  </si>
  <si>
    <t>"101000, г Москва, р-н Троицк, деревня Ватутинки"</t>
  </si>
  <si>
    <t>"142100, Московская обл, г Подольск, Революционный пр-кт, д 60"</t>
  </si>
  <si>
    <t>"142100, Московская обл, г Подольск"</t>
  </si>
  <si>
    <t xml:space="preserve"> "142181, Московская обл, г Подольск, мкр Климовск, тер СНТ N8, д 54"</t>
  </si>
  <si>
    <t>"140207, Московская обл, г Воскресенск, ул Энгельса, д 7"</t>
  </si>
  <si>
    <t xml:space="preserve">
            "142800, Московская обл, г Ступино, деревня Проскурниково"</t>
  </si>
  <si>
    <t>"140480, Московская обл, г Коломна, село Старое Бобренево"</t>
  </si>
  <si>
    <t xml:space="preserve"> "630102, Новосибирская обл, г Новосибирск, Октябрьский р-н, ул Якушева, д 50"</t>
  </si>
  <si>
    <t>dadata</t>
  </si>
  <si>
    <t>Россия, Москва, Тверская улица, дом 12 (примерный адрес, точный адрес может отличаться от фактического местоположения координат)</t>
  </si>
  <si>
    <t>"Россия, Санкт-Петербург, улица Савушкина, дом 127 (ближайший ориентир — район Сестрорецка, фактически территория Курортного района). Точные адреса вблизи указанных координат могут варьироваться в зависимости от используемого сервиса геокодирования."</t>
  </si>
  <si>
    <t>"Россия, Ярославль, улица Большая Федоровская, дом 65 (примерный адрес, точный уточните дополнительно)"</t>
  </si>
  <si>
    <t>"Россия, Ульяновск, улица Гончарова, дом 17 (примерный адрес, точный уточнять дополнительно)"</t>
  </si>
  <si>
    <t>"Россия, Республика Карелия, город Сортавала, улица Ленина, дом 45 (примерный адрес, точный уточнять на местности)"</t>
  </si>
  <si>
    <t>"Беларусь, Минск, проспект Независимости, 36 (примерный адрес, точный уточнять отдельно)"</t>
  </si>
  <si>
    <t>"Россия, Москва, улица Большая Черемушкинская, дом 6 (примерный адрес, точный может отличаться от фактического местоположения координат)"</t>
  </si>
  <si>
    <t>"Россия, Екатеринбург, улица Вайнера, дом 14 (ближайший крупный ориентир — улица Вайнера).  \nТочные адреса могут варьироваться в зависимости от используемого сервиса геокодирования, однако указанные координаты соответствуют району Екатеринбурга, расположенному рядом с улицей Вайнера."</t>
  </si>
  <si>
    <t>"Россия, Республика Бурятия, город Улан-Удэ, улица Карла Маркса, дом отсутствует (координаты близки к центру города)"</t>
  </si>
  <si>
    <t>"Россия, Калининград, улица Аболина, дом 17 (примерный адрес, точный может отличаться)"</t>
  </si>
  <si>
    <t>"Россия, Москва, улица Большая Якиманка, дом 6/2 (ближайшая станция метро — «Октябрьская»).  \nТочный адрес зависит от масштаба поиска, указанные координаты примерно соответствуют территории посольства США в Москве."</t>
  </si>
  <si>
    <t>"Россия, Воронеж, улица 9 Января, дом 165 (примерный адрес, точный уточните через картографические сервисы)"</t>
  </si>
  <si>
    <t>"Россия, Москва, Ленинградский проспект, д. 37 (примерный адрес, точный может отличаться)  \n(координаты близки к району метро «Сокол»)"</t>
  </si>
  <si>
    <t>"Россия, Калининград, улица Апрельская, дом 6 (примерный адрес, точный уточните через картографические сервисы)</t>
  </si>
  <si>
    <t>"Россия, Чукотский автономный округ, Анадырь, ул. Ленина, дом отсутствует (координаты находятся примерно в центре города Анадыря)"</t>
  </si>
  <si>
    <t>"Россия, Ульяновск, улица Гончарова, дом 17 (примерный адрес, точный адрес может отличаться от фактического местоположения координат)"</t>
  </si>
  <si>
    <t>"Россия, Республика Татарстан, город Набережные Челны, проспект Московский, дом 98 (примерное соответствие координат)  \nТочное название улицы и номер дома могут отличаться от указанных, поскольку адресация зависит от точности координат и используемого сервиса геокодирования."</t>
  </si>
  <si>
    <t>"Россия, Санкт-Петербург, набережная реки Фонтанки, дом 44 (ближайшая улица и номер дома примерный, точный адрес уточните дополнительно)"</t>
  </si>
  <si>
    <t>"Россия, Москва, улица Большая Якиманка, дом 6/2 (ближайшая станция метро — «Октябрьская»).  \nТочный адрес может варьироваться в зависимости от используемого сервиса геокодирования."</t>
  </si>
  <si>
    <t>"Россия, Москва, Ленинградский проспект, д. 37 (примерный адрес, точный уточнять дополнительно)"</t>
  </si>
  <si>
    <t>"Россия, Республика Бурятия, город Улан-Удэ, улица Шимановская, дом отсутствует (координаты близки к центру города, возможно, район набережной или центральной части)"</t>
  </si>
  <si>
    <t>"Россия, Якутия (Саха), город Якутск, улица Лермонтова, дом 76 (примерный адрес, точный уточнять дополнительно)</t>
  </si>
  <si>
    <t>"Россия, Новосибирск, улица Советская, дом 32 (примерный адрес, точный уточнять дополнительно)"</t>
  </si>
  <si>
    <t>"Россия, Салехард, улица Обская, дом № 1 (ближайший ориентир — здание администрации города).  \nТочные адреса могут варьироваться в зависимости от используемого сервиса геокодирования."</t>
  </si>
  <si>
    <t>"Россия, Норильск, улица Ленина, дом № 87 (примерный адрес, точный адрес может отличаться от фактического местоположения координат)"</t>
  </si>
  <si>
    <t>"Россия, Якутск, улица Ленина, дом 34 (примерный адрес, точный уточните дополнительно)"</t>
  </si>
  <si>
    <t>"Россия, Якутск, улица Октябрьская, дом 147 (примерный адрес, точный уточнять на местности)"</t>
  </si>
  <si>
    <t>"Россия, Чукотский автономный округ, Анадырь, ул. Ленина, д. 17 (примерное соответствие координат, точное название улицы и номер дома могут отличаться от фактического адреса)"</t>
  </si>
  <si>
    <t>"Россия, Иркутск, улица Пискунова, дом 5 (примерный адрес, точный уточнять дополнительно)"</t>
  </si>
  <si>
    <t>"Россия, Республика Татарстан, город Казань, улица Чернышевского, дом 68 (примерный адрес, точный уточните дополнительно)"</t>
  </si>
  <si>
    <t>"Россия, Ярославль, улица Чкалова, дом 41 (примерный адрес, точный уточните дополнительно)"</t>
  </si>
  <si>
    <t>"Россия, Республика Татарстан, город Казань, улица Чистопольская, дом 69 (примерный адрес, точный уточнять дополнительно)"</t>
  </si>
  <si>
    <t>"Россия, Москва, улица Большая Якиманка, дом 54 (ближайшая станция метро — «Парк Культуры»)"</t>
  </si>
  <si>
    <t>"Россия, Республика Татарстан, город Набережные Челны, проспект Московский, дом 87 (примерное соответствие координат)  \nТочное название улицы и номер дома могут отличаться от указанных, поскольку адресация зависит от местных административных особенностей населённого пункта."</t>
  </si>
  <si>
    <t>"Россия, Республика Татарстан, город Казань, улица Чернышевского, дом 97 (примерный адрес, точный уточните дополнительно)"</t>
  </si>
  <si>
    <t>"Россия, Ярославль, улица Большая Октябрьская, дом 71 (примерный адрес, точный уточните дополнительно)"</t>
  </si>
  <si>
    <t>"Россия, Екатеринбург, улица Вайнера, дом 1 (ближайший крупный ориентир — улица Вайнера).  \nТочные адреса могут варьироваться в зависимости от используемого сервиса геокодирования, однако наиболее вероятный вариант — именно этот."</t>
  </si>
  <si>
    <t>"Россия, Республика Карелия, город Сортавала, улица Капитана Колосова, дом 7 (примерный адрес, точный уточнять на местности)"</t>
  </si>
  <si>
    <t>"Канада, Калгари, 940 17 Ave SW, дом № 300 (примерный адрес, точный найти невозможно без использования специализированных сервисов картографии)"</t>
  </si>
  <si>
    <t>"Россия, Новосибирск, улица Титова, дом 116 (примерный адрес, точный уточнять дополнительно)"</t>
  </si>
  <si>
    <t>"Россия, Салехард, ул. Обская, дом № 19 (ближайший адрес по указанным координатам).  \nТочное соответствие координат конкретному адресу — задача сложная, поскольку географические системы координат и адресация различаются между странами и регионами. Указанный адрес является примерным и приблизительным."</t>
  </si>
  <si>
    <t>"Россия, Республика Карелия, город Сортавала, улица Капитана Пертту, дом отсутствует (координаты близки к территории Карелии, однако точное соответствие адресу установить невозможно без использования специализированных картографических сервисов)."</t>
  </si>
  <si>
    <t>"Россия, Республика Коми, город Сыктывкар, улица Пушкина, дом 41 (примерный адрес, точный уточнять дополнительно)"</t>
  </si>
  <si>
    <t>"Россия, Республика Бурятия, город Улан-Удэ, улица Шимановская, дом №17 (примерный адрес, точный уточнять на местности)"</t>
  </si>
  <si>
    <t>"Россия, Республика Бурятия, город Улан-Удэ, улица Терешковой, дом 7 (примерный адрес, точный уточнять дополнительно)"</t>
  </si>
  <si>
    <t>"Россия, Оренбург, улица Степная, дом 116** (примерный адрес, точный адрес без дополнительной проверки определить невозможно)**  \n(координаты близки к Оренбургу, но точное соответствие адресу требует уточнения через картографические сервисы)."</t>
  </si>
  <si>
    <t>"Россия, Ярославль, улица Большая Федоровская, дом 86 (примерный адрес, точный уточнять дополнительно)"</t>
  </si>
  <si>
    <t>"Россия, Минск, улица Независимости, дом 78** (примерное соответствие координат, точное указание адреса требует уточнения на местности)**  \n(координаты близки к центру Минска, однако точный адрес зависит от точности карты и системы координат)."</t>
  </si>
  <si>
    <t>"Россия, Москва, улица Большая Якиманка, дом 58 (ближайшая станция метро — «Парк Культуры»)"</t>
  </si>
  <si>
    <t>"Россия, Ульяновск, улица Гончарова, дом 9 (примерный адрес, точный уточните по картографическим сервисам)"</t>
  </si>
  <si>
    <t>"Корея, Республика Корея  \nПровинция Канвондо  \nГород Чеджу-сити  \nУлица Хванчжи-ро (Хванчжи-дон)  \nДом № отсутствует (адресная система отличается от российской)"</t>
  </si>
  <si>
    <t>"Россия, Сахалинская область, город Южно-Сахалинск, улица Горького, дом 67 (примерный адрес, точный уточните по картам)"</t>
  </si>
  <si>
    <t>"Украина, Харьков, улица Шевченко, дом 38 (примерный адрес, точный адрес может отличаться от фактического местоположения координат)  \n\n(координаты близки к центру Харькова, однако точное соответствие адресу определить невозможно без использования специализированных картографических сервисов.)"</t>
  </si>
  <si>
    <t>"Канада, Калгари, 17th Avenue SW, 600 (примерный адрес, точный найти затруднительно ввиду отсутствия подробной привязки к конкретному адресу)"</t>
  </si>
  <si>
    <t>"Россия, Калининград, улица Аболина, дом 4 (примерный адрес, точный уточните через картографические сервисы)"</t>
  </si>
  <si>
    <t>"Россия, Республика Коми, город Ухта, улица Юбилейная, дом 47 (примерный адрес, точный уточняется по картам местности)"</t>
  </si>
  <si>
    <t>"Россия, Норильск, улица Ленина, дом № 111 (ближайший крупный объект — микрорайон «Заполярный»)"</t>
  </si>
  <si>
    <t xml:space="preserve">
                "content": "Россия, Норильск, улица Ленина, дом 7 (примерный адрес, точный адрес может отличаться от фактического местоположения координат)"</t>
  </si>
  <si>
    <t>"Россия, Мурманская область, город Апатиты, улица Обогатительная, дом № 7 (примерный адрес, точный уточнять самостоятельно)."</t>
  </si>
  <si>
    <t>"Россия, Санкт-Петербург, улица Савушкина, дом 86 (ближайший крупный ориентир — район Новая Деревня).  \nТочные адреса могут варьироваться в зависимости от используемого сервиса геокодирования, однако указанные координаты примерно соответствуют этому адресу."</t>
  </si>
  <si>
    <t>"Россия, Белгород, улица Попова, дом 139 (примерный адрес, точный уточните по картам или справочникам)"</t>
  </si>
  <si>
    <t>"Россия, Москва, Ленинградский проспект, д. 37 (примерный адрес, точный дом может отличаться от фактического местоположения координат)"</t>
  </si>
  <si>
    <t>"Россия, Москва, улица Большая Якиманка, дом 6 (ближайшая станция метро — «Октябрьская»).  \nТочные адреса могут незначительно варьироваться в зависимости от используемого сервиса картографии."</t>
  </si>
  <si>
    <t>"Россия, Екатеринбург, улица Малышева, дом № 88 (ближайший крупный объект — район Верх-Исетского района Екатеринбурга). Точные адреса могут незначительно варьироваться в зависимости от используемого сервиса геокодирования.</t>
  </si>
  <si>
    <t>"Россия, Ярославль, улица Большая Октябрьская, дом 67 (примерный адрес, точный уточнять дополнительно)"</t>
  </si>
  <si>
    <t>"Россия, Ульяновск, улица Гончарова, дом 16 (примерный адрес, точный уточнять дополнительно)</t>
  </si>
  <si>
    <t>"Россия, Норильск, улица Ленина, дом 34 (примерный адрес, точный адрес может отличаться от фактического местоположения координат)"</t>
  </si>
  <si>
    <t>"Россия, Архангельск, улица Плеханова, дом 17 (примерный адрес, точный уточнять дополнительно)"</t>
  </si>
  <si>
    <t>"Россия, Москва, Ленинградский проспект, дом 45 (примерный адрес, точный уточняется по картам ГИС)"</t>
  </si>
  <si>
    <t>"Россия, Сыктывкар, улица Октябрьская, дом № 7 (примерный адрес, точный уточнять дополнительно)."</t>
  </si>
  <si>
    <t>"Россия, Чукотский автономный округ, Анадырь, ул. Ленина, д. 174 (примерное соответствие, точное название улицы и номер дома могут отличаться)  \n\n(координаты близки к аэропорту Анадыря, фактический адрес может находиться ближе к центру города или другим административным зданиям)."</t>
  </si>
  <si>
    <t>"Адрес по указанным координатам некорректен:  \n**Страна, город, улица, дом** — не существуют (координаты неверны).  \nВероятно, имелись в виду координаты где-то в районе Чукотки, однако там нет населенных пунктов с такими широтой и долготой."</t>
  </si>
  <si>
    <t>"Россия, Якутия (Саха), город Якутск, улица Октябрьская, дом отсутствует (координаты находятся примерно в центре города Якутска)  \n\nТочное указание дома зависит от конкретной точки внутри городской застройки."</t>
  </si>
  <si>
    <t>"Россия, Якутия (Саха), город Якутск, улица Октябрьская, дом 158** (примерный адрес, точный уточнять дополнительно)**"</t>
  </si>
  <si>
    <t>"Россия, Москва, улица Большая Якиманка, дом 38 (ближайшая к указанным координатам точка адресации)  \nТочный адрес определить невозможно, поскольку заданные координаты находятся между несколькими объектами городской инфраструктуры Москвы."</t>
  </si>
  <si>
    <t>"Россия, Москва, улица Большая Якиманка, дом 16 (ближайшая станция метро — «Парк Культуры»)"</t>
  </si>
  <si>
    <t>"Россия, Москва, Тверская улица, дом 12 (примерный адрес, точный зависит от системы адресации конкретного района)"</t>
  </si>
  <si>
    <t>"Россия, Москва, Ленинградский проспект, 39 (примерный адрес, точный дом может отличаться от фактического местоположения координат)"</t>
  </si>
  <si>
    <t>"Россия, Москва, Тверская улица, дом 13 (ближайший ориентир — Красная площадь).  \nТочный адрес зависит от масштаба поиска, указанные координаты примерно соответствуют центру Москвы рядом с Красной площадью."</t>
  </si>
  <si>
    <t>"Россия, Москва, Тверская улица, дом 14 (ближайший ориентир — Красная площадь).  \nТочные адреса могут варьироваться в зависимости от используемого сервиса геокодирования, однако указанные координаты соответствуют центру Москвы вблизи Красной площади."</t>
  </si>
  <si>
    <t>"Россия, Москва, улица Большая Якиманка, дом 38/6 (ближайшая станция метро — «Парк Культуры»)"</t>
  </si>
  <si>
    <t>"Россия, Москва, Тверская улица, дом 14 (ближайший ориентир — Красная площадь).  \nТочные адреса могут варьироваться в зависимости от используемого сервиса геокодирования."</t>
  </si>
  <si>
    <t>"Россия, Москва, Тверская улица, дом 14 (ближайший ориентир — станция метро «Белорусская»). Точные адреса могут варьироваться в зависимости от используемого сервиса геокодирования."</t>
  </si>
  <si>
    <t>"Россия, Москва, Ленинградский проспект, 37 (примерный адрес, точный уточнять по картам и справочникам)"</t>
  </si>
  <si>
    <t>"Россия, Москва, улица Большая Якиманка, дом 34/6 (ближайшая станция метро — «Парк Культуры»)"</t>
  </si>
  <si>
    <t>"Россия, Москва, Тверская улица, дом 12 (примерный адрес, точный зависит от уточнения района).  \nТочные данные могут варьироваться в зависимости от точного местоположения внутри города Москвы."</t>
  </si>
  <si>
    <t>"Россия, Москва, Тверская улица, дом 13 (ближайший ориентир — станция метро «Чеховская»)"</t>
  </si>
  <si>
    <t>"Россия, Москва, Ленинградский проспект, 37 (примерный адрес, точный зависит от системы адресации конкретного района)"</t>
  </si>
  <si>
    <t>"Россия, Москва, Тверская улица, дом 12 (примерный адрес центрального района Москвы вблизи указанных координат). Точные адреса зависят от конкретной системы координат и масштаба карты, указанные координаты близки к центру Москвы, рядом с Красной площадью и Кремлем."</t>
  </si>
  <si>
    <t>"Россия, Москва, Ленинградский проспект, 39 (примерный адрес, точный уточнять по картам и справочникам)"</t>
  </si>
  <si>
    <t>"Россия, Москва, Тверская улица, дом 14 (ближайший ориентир — Красная площадь).  \nТочные адреса могут варьироваться в зависимости от используемого сервиса картографии."</t>
  </si>
  <si>
    <t>"Россия, Москва, Тверская улица, дом 12 (примерный адрес, точный зависит от уточнения района внутри города)"</t>
  </si>
  <si>
    <t>"Россия, Москва, Тверская улица, дом 12 (примерный адрес центрального района Москвы вблизи указанных координат). Точные адреса зависят от конкретной системы координат и масштаба карты — указанные широта/долгота соответствуют центру Москвы."</t>
  </si>
  <si>
    <t>"Россия, Москва, Тверская улица, дом 14 (ближайший ориентир — станция метро «Чеховская»)"</t>
  </si>
  <si>
    <t>"Россия, Москва, Ленинградский проспект, дом 37 (примерный адрес, точный зависит от системы адресации конкретного района)"</t>
  </si>
  <si>
    <t>"Россия, Москва, Тверская улица, дом 14 (ближайший ориентир — станция метро «Белорусская»)"</t>
  </si>
  <si>
    <t>"Россия, Республика Бурятия, город Улан-Удэ, улица Ленина, дом № 47 (примерный адрес, точный уточнять дополнительно)"</t>
  </si>
  <si>
    <t>"Россия, Москва, Красная площадь, 9"</t>
  </si>
  <si>
    <t>"Россия, Санкт-Петербург, Дворцовая набережная, 38"</t>
  </si>
  <si>
    <t>"Россия, Республика Татарстан (Татарстан), Казань, Кремлёвская улица, 1"</t>
  </si>
  <si>
    <t>"Россия, Нижний Новгород, Кремль, 2А"</t>
  </si>
  <si>
    <t>"Россия, Омск, Тарская улица, 4"</t>
  </si>
  <si>
    <t>"Россия, Самара, улица Шостаковича, 7"</t>
  </si>
  <si>
    <t>"Россия, Ростов-на-Дону, Ворошиловский проспект, 16/71"</t>
  </si>
  <si>
    <t>"Россия, Свердловская область, Екатеринбург, проспект Ленина, 29"</t>
  </si>
  <si>
    <t>"Россия, Новосибирск, улица Ольги Жилиной, 60"</t>
  </si>
  <si>
    <t>"Россия, Удмуртская Республика, Ижевск, улица Карла Маркса, 246А"</t>
  </si>
  <si>
    <t>"Россия, Краснодар, Красная улица, 135", "350020"</t>
  </si>
  <si>
    <t>"Россия, Волгоград, Черноморская улица, 42", "400012"</t>
  </si>
  <si>
    <t>"Россия, Республика Башкортостан, Уфа, улица Цюрупы, 95",  "450008"</t>
  </si>
  <si>
    <t>"Россия, Великий Новгород, район Торговая сторона, улица Панкратова, 30с1"</t>
  </si>
  <si>
    <t>"Россия, Магадан, улица Гагарина, 12", "685024"</t>
  </si>
  <si>
    <t>"Россия, Краснодарский край, Сочи, микрорайон Центральный, Советская улица, 26",  "354000"</t>
  </si>
  <si>
    <t>"Россия, Севастополь, площадь Нахимова, 1",  "299011"</t>
  </si>
  <si>
    <t>"Россия, Оренбург, улица Михаила Фадеева, 64"</t>
  </si>
  <si>
    <t>"Россия, Республика Башкортостан, Салават, проспект Нефтяников, 1",  "453261"</t>
  </si>
  <si>
    <t>"Россия, Новосибирск, Красный проспект, 34",  "630099"</t>
  </si>
  <si>
    <t>"Россия, Томск, проспект Ленина, 80А", "634050"</t>
  </si>
  <si>
    <t>"Россия, Алтайский край, Барнаул, Одесская улица, 5",  "656066"</t>
  </si>
  <si>
    <t>"Россия, Иркутск, улица Октябрьской Революции, с6"</t>
  </si>
  <si>
    <t>"Россия, Ханты-Мансийский автономный округ — Югра, Сургут, улица Островского, 3", "628417"</t>
  </si>
  <si>
    <t>"Россия, Ямало-Ненецкий автономный округ, Салехард, улица Республики, 65",  "629008"</t>
  </si>
  <si>
    <t>"Россия, Ненецкий автономный округ, Нарьян-Мар, улица Победы, 3"</t>
  </si>
  <si>
    <t>"Россия, Мурманск, улица Полярные Зори, 16", "183039"</t>
  </si>
  <si>
    <t>"Россия, Астрахань, Советская улица, 2", "414000"</t>
  </si>
  <si>
    <t>"Россия, Астрахань, Советская улица, 2",  "414000"</t>
  </si>
  <si>
    <t>"Россия, Республика Крым, Симферополь, Киевская улица, 77/4", "295034"</t>
  </si>
  <si>
    <t>"Россия, Ярославль, Советская площадь, 7",  "150000"</t>
  </si>
  <si>
    <t>"Россия, муниципальное образование Смоленск, Ленинский район, площадь Ленина, 1",  "214000"</t>
  </si>
  <si>
    <t xml:space="preserve"> "Россия, Воронеж, улица Фридриха Энгельса, 7", "394036"</t>
  </si>
  <si>
    <t>"Россия, Брянск, проспект Ленина, 24", "241050"</t>
  </si>
  <si>
    <t>"Россия, Калуга, улица Кирова, 56",  "248001"</t>
  </si>
  <si>
    <t>"Россия, Республика Татарстан (Татарстан), Казань, улица Шамиля Усманова, 31",  "420095"</t>
  </si>
  <si>
    <t>"Россия, Республика Марий Эл, Йошкар-Ола, Советская улица, 140",  "424000"</t>
  </si>
  <si>
    <t>"Россия, Красноярский край, Енисейский муниципальный округ, Енисейск, улица Авиаторов, 4А",  "663180"</t>
  </si>
  <si>
    <t>"Россия, Забайкальский край, Чита, улица Бутина, 39", "672027"</t>
  </si>
  <si>
    <t>"Россия, Иркутск, остров Конный, 5"</t>
  </si>
  <si>
    <t>"Россия, Ханты-Мансийский автономный округ — Югра, Сургут, проспект Мира, 55/1",  "628403"</t>
  </si>
  <si>
    <t>"Россия, Томск, Киевская улица, 109/6",  "634041"</t>
  </si>
  <si>
    <t xml:space="preserve"> "Россия, Алтайский край, Барнаул, проспект Ленина, 102Б", "656002"</t>
  </si>
  <si>
    <t>"Россия, Новосибирск, улица Ленина, 2",  "630099"</t>
  </si>
  <si>
    <t>"Россия, Новосибирск, Советский район, микрорайон Академгородок, проспект Академика Лаврентьева, 5/2", "630090"</t>
  </si>
  <si>
    <t>"Россия, Новосибирск, улица Шевченко, 19/1к2"</t>
  </si>
  <si>
    <t>"Россия, Чувашская Республика — Чувашия, Чебоксары, улица Фёдора Гладкова, 18А", "428020"</t>
  </si>
  <si>
    <t>"Россия, Рязань, улица Маяковского, 79"</t>
  </si>
  <si>
    <t>"Россия, Самара, Московское шоссе, литЯ"</t>
  </si>
  <si>
    <t>"Россия, Краснодарский край, Новороссийск, улица Советов, 7", "353900"</t>
  </si>
  <si>
    <t>"Россия, Хабаровск, улица Карла Маркса, 62", "680017"</t>
  </si>
  <si>
    <t>"Россия, Амурская область, Благовещенск, Магистральная улица, 52",  "675014"</t>
  </si>
  <si>
    <t>"Россия, Забайкальский край, Чита, Ленинградская улица, 34", "672027"</t>
  </si>
  <si>
    <t>"Россия, Свердловская область, Красноуфимск, улица Ухтомского, 33", "623300"</t>
  </si>
  <si>
    <t>"Россия, Пермь, улица Старцева, 2АБ/40"</t>
  </si>
  <si>
    <t>"Россия, Тюмень, улица Республики, 45",  "625000"</t>
  </si>
  <si>
    <t>"Россия, Курган, улица Пушкина, 161",  "640021"</t>
  </si>
  <si>
    <t>"Россия, Челябинская область, Южноуральск, Челябинская улица, 102А", "457042"</t>
  </si>
  <si>
    <t>"Россия, Челябинская область, Магнитогорск, улица 9 Мая, 7/1", "455007"</t>
  </si>
  <si>
    <t>"Россия, Саратов, проспект имени Петра Столыпина, 1"</t>
  </si>
  <si>
    <t>"Россия, Республика Башкортостан, Салават, Северная улица, 15",  "453252"</t>
  </si>
  <si>
    <t>"Россия, Республика Башкортостан, Уфа, улица 50-летия Октября, 12",  "450005"</t>
  </si>
  <si>
    <t>"Россия, Чувашская Республика — Чувашия, Чебоксары, улица Николая Рождественского, 1",  "428003"</t>
  </si>
  <si>
    <t>"Россия, Республика Татарстан (Татарстан), Казань, улица Островского, 57Б",  "420107"</t>
  </si>
  <si>
    <t>"Россия, Нижний Новгород, Кремль, 2А",  "603082"</t>
  </si>
  <si>
    <t>"Россия, Тюмень, улица Крупской, 21",  "625003"</t>
  </si>
  <si>
    <t xml:space="preserve"> "Россия, Свердловская область, Верхняя Салда, улица Ленина, 31",  "624760"</t>
  </si>
  <si>
    <t>"Россия, Магадан, проспект Ленина, 21А"</t>
  </si>
  <si>
    <t>"Россия, Камчатский край, Петропавловск-Камчатский, Советская улица, 21",  "683001"</t>
  </si>
  <si>
    <t>"Россия, Республика Саха (Якутия), Якутск, улица Курашова, 29А"</t>
  </si>
  <si>
    <t>"Россия, Республика Саха (Якутия), Якутск, улица Кирова, 11",  "677022"</t>
  </si>
  <si>
    <t>"Россия, Московская область, Дубна, улица В.И. Векслера, 19",  "141980"</t>
  </si>
  <si>
    <t>"Россия, Московская область, Дмитров, Загорская улица, 32А", "141800"</t>
  </si>
  <si>
    <t>"Россия, Московская область, Серпухов, улица Верхняя Серпейка, 5",  "142200"</t>
  </si>
  <si>
    <t>"Россия, Москва, улица Бехтерева, 45к2", "115516"</t>
  </si>
  <si>
    <t>"Россия, Московская область, Королёв, Пионерская улица, 49А", "141074"</t>
  </si>
  <si>
    <t>"Россия, Москва, Череповецкая улица, вл15", "127572"</t>
  </si>
  <si>
    <t>"Россия, Москва, улица Менжинского, 23к1", "129327"</t>
  </si>
  <si>
    <t>"Россия, Москва, улица Земляной Вал, 14-16с3", "105064"</t>
  </si>
  <si>
    <t>"Россия, Москва, улица Льва Толстого, 16",  "119021"</t>
  </si>
  <si>
    <t>"Россия, Московская область, Люберцы, Октябрьский проспект, 178",  "140000"</t>
  </si>
  <si>
    <t>"Россия, Москва, район Капотня, 5-й квартал, 24",  "109649"</t>
  </si>
  <si>
    <t>"Россия, Москва, МКАД, 26-й километр, вл10", "115598"</t>
  </si>
  <si>
    <t>"Россия, Московская область, Ленинский городской округ, Видное, 4-й микрорайон, микрорайон Солнечный, 4", "142703"</t>
  </si>
  <si>
    <t>"Россия, Москва, Новопотаповский проезд, 3к4", "117041"</t>
  </si>
  <si>
    <t>"Россия, Москва, район Троицк, посёлок Ватутинки, 4-я Ватутинская улица, 10с2"</t>
  </si>
  <si>
    <t>"Россия, Московская область, Подольск, Революционный проспект, 60", "142100"</t>
  </si>
  <si>
    <t xml:space="preserve"> "Россия, Московская область, Подольск, Комсомольская улица, 1с47",  "142100"</t>
  </si>
  <si>
    <t>"Россия, Московская область, Подольск, СНТ № 8, 54"</t>
  </si>
  <si>
    <t>"Россия, Московская область, городской округ Подольск, ТСН Харитоново, 16", "142184"</t>
  </si>
  <si>
    <t>"Россия, Московская область, Домодедово, СНТ Наука-89, 59",  "142074"</t>
  </si>
  <si>
    <t>"Россия, Московская область, Воскресенск, микрорайон Новлянский, улица Энгельса, 7", "140207"</t>
  </si>
  <si>
    <t>"Россия, Московская область, городской округ Ступино, деревня Проскурниково, Зелёная улица, 44", "142846"</t>
  </si>
  <si>
    <t>"Россия, Московская область, городской округ Коломна, село Старое Бобренево, Советская улица, 33"</t>
  </si>
  <si>
    <t>"Россия, Новосибирск, улица Сакко и Ванцетти, 21",  "630102"</t>
  </si>
  <si>
    <t>giga.chat</t>
  </si>
  <si>
    <t>широта</t>
  </si>
  <si>
    <t>долгота</t>
  </si>
  <si>
    <t>Яндекс, Геокодер</t>
  </si>
  <si>
    <t>giga,chat</t>
  </si>
  <si>
    <t>Расстояние (м)</t>
  </si>
  <si>
    <t>Яндекс/dadata</t>
  </si>
  <si>
    <t>Яндекс/giga,chat</t>
  </si>
  <si>
    <t>Оценка Яндекс</t>
  </si>
  <si>
    <t>Оценка dadata</t>
  </si>
  <si>
    <t>Оценка giga.chat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</si>
</sst>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>
    <font>
      <sz val="12"/>
      <color theme="1"/>
      <name val="Calibri"/>
      <family val="2"/>
      <charset val="204"/>
      <scheme val="minor"/>
    </font>
    <font>
      <sz val="12"/>
      <color rgb="FF0F1115"/>
      <name val="Helvetica Neue"/>
      <family val="2"/>
    </font>
    <font>
      <sz val="7"/>
      <color rgb="FFCE9178"/>
      <name val="Courier New"/>
      <family val="3"/>
      <charset val="204"/>
    </font>
    <font>
      <sz val="7"/>
      <color rgb="FFDCDCDC"/>
      <name val="Courier New"/>
      <family val="3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1" fillId="0" borderId="0" xfId="0" applyFont="1" applyBorder="1"/>
    <xf numFmtId="0" fontId="1" fillId="0" borderId="2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164" fontId="1" fillId="0" borderId="0" xfId="0" applyNumberFormat="1" applyFont="1" applyBorder="1"/>
    <xf numFmtId="0" fontId="5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opLeftCell="A13" workbookViewId="0">
      <selection activeCell="H27" sqref="H27"/>
    </sheetView>
  </sheetViews>
  <sheetFormatPr defaultColWidth="11.19921875" defaultRowHeight="15.6"/>
  <cols>
    <col min="1" max="1" width="64.69921875" customWidth="1"/>
    <col min="2" max="2" width="12.296875" customWidth="1"/>
    <col min="3" max="3" width="11.8984375" customWidth="1"/>
    <col min="4" max="5" width="13" customWidth="1"/>
    <col min="6" max="6" width="11" style="2" customWidth="1"/>
    <col min="8" max="8" width="19.8984375" customWidth="1"/>
    <col min="9" max="9" width="20.3984375" customWidth="1"/>
  </cols>
  <sheetData>
    <row r="1" spans="1:9" ht="21" customHeight="1">
      <c r="A1" s="9" t="s">
        <v>90</v>
      </c>
      <c r="B1" s="10" t="s">
        <v>490</v>
      </c>
      <c r="C1" s="10"/>
      <c r="D1" s="10" t="s">
        <v>294</v>
      </c>
      <c r="E1" s="10"/>
      <c r="F1" s="10" t="s">
        <v>491</v>
      </c>
      <c r="G1" s="10"/>
      <c r="H1" s="14" t="s">
        <v>492</v>
      </c>
      <c r="I1" s="14"/>
    </row>
    <row r="2" spans="1:9" ht="21" customHeight="1">
      <c r="A2" s="9"/>
      <c r="B2" s="9" t="s">
        <v>488</v>
      </c>
      <c r="C2" s="11" t="s">
        <v>489</v>
      </c>
      <c r="D2" s="11" t="s">
        <v>488</v>
      </c>
      <c r="E2" s="11" t="s">
        <v>489</v>
      </c>
      <c r="F2" s="11" t="s">
        <v>488</v>
      </c>
      <c r="G2" s="11" t="s">
        <v>489</v>
      </c>
      <c r="H2" s="11" t="s">
        <v>493</v>
      </c>
      <c r="I2" s="11" t="s">
        <v>494</v>
      </c>
    </row>
    <row r="3" spans="1:9" ht="31.2">
      <c r="A3" s="8" t="s">
        <v>0</v>
      </c>
      <c r="B3" s="13">
        <v>55.755277</v>
      </c>
      <c r="C3">
        <v>37.61768</v>
      </c>
      <c r="D3">
        <v>55.755292099999998</v>
      </c>
      <c r="E3">
        <v>37.617629399999998</v>
      </c>
      <c r="F3" s="2">
        <v>55.753959999999999</v>
      </c>
      <c r="G3">
        <v>37.62039</v>
      </c>
      <c r="H3" s="2">
        <f>2*6371*ASIN(SQRT(POWER(SIN((RADIANS(B3-D3))/2),2)+POWER(SIN((RADIANS(C3-E3))/2),2)*COS(RADIANS(B3))*COS(RADIANS(D3))))*1000</f>
        <v>3.5838294775952764</v>
      </c>
      <c r="I3">
        <f>2*6371*ASIN(SQRT(POWER(SIN((RADIANS(B3-F3))/2),2)+POWER(SIN((RADIANS(C3-G3))/2),2)*COS(RADIANS(B3))*COS(RADIANS(F3))))*1000</f>
        <v>224.0564634220602</v>
      </c>
    </row>
    <row r="4" spans="1:9">
      <c r="A4" s="1" t="s">
        <v>1</v>
      </c>
      <c r="B4" s="7">
        <v>55.757972000000002</v>
      </c>
      <c r="C4">
        <v>37.611212000000002</v>
      </c>
      <c r="D4">
        <v>55.757979499999998</v>
      </c>
      <c r="E4">
        <v>37.611263000000001</v>
      </c>
      <c r="F4" s="2">
        <v>55.7744</v>
      </c>
      <c r="G4">
        <v>37.617600000000003</v>
      </c>
      <c r="H4" s="2">
        <f t="shared" ref="H4:H67" si="0">2*6371*ASIN(SQRT(POWER(SIN((RADIANS(B4-D4))/2),2)+POWER(SIN((RADIANS(C4-E4))/2),2)*COS(RADIANS(B4))*COS(RADIANS(D4))))*1000</f>
        <v>3.2981590515572017</v>
      </c>
      <c r="I4">
        <f t="shared" ref="I4:I67" si="1">2*6371*ASIN(SQRT(POWER(SIN((RADIANS(B4-F4))/2),2)+POWER(SIN((RADIANS(C4-G4))/2),2)*COS(RADIANS(B4))*COS(RADIANS(F4))))*1000</f>
        <v>1869.9069526848218</v>
      </c>
    </row>
    <row r="5" spans="1:9">
      <c r="A5" s="1" t="s">
        <v>2</v>
      </c>
      <c r="B5" s="7">
        <v>55.763978999999999</v>
      </c>
      <c r="C5">
        <v>37.637326000000002</v>
      </c>
      <c r="D5">
        <v>55.763978100000003</v>
      </c>
      <c r="E5">
        <v>37.637203800000002</v>
      </c>
      <c r="F5" s="2">
        <v>55.764899999999997</v>
      </c>
      <c r="G5">
        <v>37.625</v>
      </c>
      <c r="H5" s="2">
        <f t="shared" si="0"/>
        <v>7.6453191947067287</v>
      </c>
      <c r="I5">
        <f t="shared" si="1"/>
        <v>777.85950881279246</v>
      </c>
    </row>
    <row r="6" spans="1:9">
      <c r="A6" s="1" t="s">
        <v>3</v>
      </c>
      <c r="B6" s="7">
        <v>55.747784000000003</v>
      </c>
      <c r="C6">
        <v>37.586688000000002</v>
      </c>
      <c r="D6">
        <v>55.747185999999999</v>
      </c>
      <c r="E6">
        <v>37.586536000000002</v>
      </c>
      <c r="F6" s="2">
        <v>55.749600000000001</v>
      </c>
      <c r="G6">
        <v>37.6004</v>
      </c>
      <c r="H6" s="2">
        <f t="shared" si="0"/>
        <v>67.171595366823041</v>
      </c>
      <c r="I6">
        <f t="shared" si="1"/>
        <v>881.57827768010725</v>
      </c>
    </row>
    <row r="7" spans="1:9">
      <c r="A7" s="1" t="s">
        <v>4</v>
      </c>
      <c r="B7" s="7">
        <v>55.751933000000001</v>
      </c>
      <c r="C7">
        <v>37.593066</v>
      </c>
      <c r="D7">
        <v>55.752218999999997</v>
      </c>
      <c r="E7">
        <v>37.592388700000001</v>
      </c>
      <c r="F7" s="2">
        <v>55.749600000000001</v>
      </c>
      <c r="G7">
        <v>37.623800000000003</v>
      </c>
      <c r="H7" s="2">
        <f t="shared" si="0"/>
        <v>52.988163637843719</v>
      </c>
      <c r="I7">
        <f t="shared" si="1"/>
        <v>1940.7444936943618</v>
      </c>
    </row>
    <row r="8" spans="1:9">
      <c r="A8" s="1" t="s">
        <v>5</v>
      </c>
      <c r="B8" s="7">
        <v>55.732996</v>
      </c>
      <c r="C8">
        <v>37.627147999999998</v>
      </c>
      <c r="D8">
        <v>55.732953899999998</v>
      </c>
      <c r="E8">
        <v>37.627147000000001</v>
      </c>
      <c r="F8" s="2">
        <v>55.7498</v>
      </c>
      <c r="G8">
        <v>37.626300000000001</v>
      </c>
      <c r="H8" s="2">
        <f t="shared" si="0"/>
        <v>4.6817250591206543</v>
      </c>
      <c r="I8">
        <f t="shared" si="1"/>
        <v>1869.2733430577266</v>
      </c>
    </row>
    <row r="9" spans="1:9">
      <c r="A9" s="1" t="s">
        <v>6</v>
      </c>
      <c r="B9" s="7">
        <v>55.762003999999997</v>
      </c>
      <c r="C9">
        <v>37.626448000000003</v>
      </c>
      <c r="D9">
        <v>55.762586599999999</v>
      </c>
      <c r="E9">
        <v>37.627138700000003</v>
      </c>
      <c r="F9" s="2">
        <v>55.793999999999997</v>
      </c>
      <c r="G9">
        <v>37.629800000000003</v>
      </c>
      <c r="H9" s="2">
        <f t="shared" si="0"/>
        <v>77.87123173162351</v>
      </c>
      <c r="I9">
        <f t="shared" si="1"/>
        <v>3563.9628392900745</v>
      </c>
    </row>
    <row r="10" spans="1:9">
      <c r="A10" s="1" t="s">
        <v>7</v>
      </c>
      <c r="B10" s="7">
        <v>55.767088999999999</v>
      </c>
      <c r="C10">
        <v>37.560232999999997</v>
      </c>
      <c r="D10">
        <v>55.767117499999998</v>
      </c>
      <c r="E10">
        <v>37.560110899999998</v>
      </c>
      <c r="F10" s="2">
        <v>55.749600000000001</v>
      </c>
      <c r="G10">
        <v>37.628300000000003</v>
      </c>
      <c r="H10" s="2">
        <f t="shared" si="0"/>
        <v>8.2691500518241536</v>
      </c>
      <c r="I10">
        <f t="shared" si="1"/>
        <v>4681.7870202158401</v>
      </c>
    </row>
    <row r="11" spans="1:9">
      <c r="A11" s="1" t="s">
        <v>8</v>
      </c>
      <c r="B11" s="7">
        <v>55.710732</v>
      </c>
      <c r="C11">
        <v>37.578262000000002</v>
      </c>
      <c r="D11">
        <v>55.7106177</v>
      </c>
      <c r="E11">
        <v>37.577477299999998</v>
      </c>
      <c r="F11" s="2">
        <v>55.748199999999997</v>
      </c>
      <c r="G11">
        <v>37.599800000000002</v>
      </c>
      <c r="H11" s="2">
        <f t="shared" si="0"/>
        <v>50.773306241281546</v>
      </c>
      <c r="I11">
        <f t="shared" si="1"/>
        <v>4379.0774622785084</v>
      </c>
    </row>
    <row r="12" spans="1:9">
      <c r="A12" s="1" t="s">
        <v>9</v>
      </c>
      <c r="B12" s="7">
        <v>55.781241000000001</v>
      </c>
      <c r="C12">
        <v>37.633023000000001</v>
      </c>
      <c r="D12">
        <v>55.7817407</v>
      </c>
      <c r="E12">
        <v>37.632578000000002</v>
      </c>
      <c r="F12" s="2">
        <v>55.816800000000001</v>
      </c>
      <c r="G12">
        <v>37.726999999999997</v>
      </c>
      <c r="H12" s="2">
        <f t="shared" si="0"/>
        <v>62.14226185993882</v>
      </c>
      <c r="I12">
        <f t="shared" si="1"/>
        <v>7080.6302510056375</v>
      </c>
    </row>
    <row r="13" spans="1:9">
      <c r="A13" s="1" t="s">
        <v>192</v>
      </c>
      <c r="B13" s="7">
        <v>59.9358</v>
      </c>
      <c r="C13">
        <v>30.325875</v>
      </c>
      <c r="D13">
        <v>59.935839999999999</v>
      </c>
      <c r="E13">
        <v>30.325866000000001</v>
      </c>
      <c r="F13" s="2">
        <v>59.938699999999997</v>
      </c>
      <c r="G13">
        <v>30.3142</v>
      </c>
      <c r="H13" s="2">
        <f t="shared" si="0"/>
        <v>4.4759633846715197</v>
      </c>
      <c r="I13">
        <f t="shared" si="1"/>
        <v>725.88886985534157</v>
      </c>
    </row>
    <row r="14" spans="1:9">
      <c r="A14" s="1" t="s">
        <v>193</v>
      </c>
      <c r="B14" s="7">
        <v>59.940081999999997</v>
      </c>
      <c r="C14">
        <v>30.312813999999999</v>
      </c>
      <c r="D14">
        <v>59.940112599999999</v>
      </c>
      <c r="E14">
        <v>30.3128061</v>
      </c>
      <c r="F14" s="2">
        <v>59.938699999999997</v>
      </c>
      <c r="G14">
        <v>30.3142</v>
      </c>
      <c r="H14" s="2">
        <f t="shared" si="0"/>
        <v>3.4308978695051073</v>
      </c>
      <c r="I14">
        <f t="shared" si="1"/>
        <v>171.97271997609116</v>
      </c>
    </row>
    <row r="15" spans="1:9">
      <c r="A15" s="1" t="s">
        <v>194</v>
      </c>
      <c r="B15" s="7">
        <v>59.928860999999998</v>
      </c>
      <c r="C15">
        <v>30.338667000000001</v>
      </c>
      <c r="D15">
        <v>59.928854999999999</v>
      </c>
      <c r="E15">
        <v>30.338660000000001</v>
      </c>
      <c r="F15" s="2">
        <v>59.938899999999997</v>
      </c>
      <c r="G15">
        <v>30.310600000000001</v>
      </c>
      <c r="H15" s="2">
        <f t="shared" si="0"/>
        <v>0.77280656364513423</v>
      </c>
      <c r="I15">
        <f t="shared" si="1"/>
        <v>1921.1588681957742</v>
      </c>
    </row>
    <row r="16" spans="1:9">
      <c r="A16" s="1" t="s">
        <v>195</v>
      </c>
      <c r="B16" s="7">
        <v>59.831620999999998</v>
      </c>
      <c r="C16">
        <v>30.035288000000001</v>
      </c>
      <c r="D16">
        <v>59.922972000000001</v>
      </c>
      <c r="E16">
        <v>30.309543999999999</v>
      </c>
      <c r="F16" s="2">
        <v>59.935299999999998</v>
      </c>
      <c r="G16">
        <v>30.310600000000001</v>
      </c>
      <c r="H16" s="2">
        <f t="shared" si="0"/>
        <v>18368.614271234834</v>
      </c>
      <c r="I16">
        <f t="shared" si="1"/>
        <v>19205.556736496193</v>
      </c>
    </row>
    <row r="17" spans="1:9">
      <c r="A17" s="1" t="s">
        <v>196</v>
      </c>
      <c r="B17" s="7">
        <v>59.935786</v>
      </c>
      <c r="C17">
        <v>30.337292999999999</v>
      </c>
      <c r="D17">
        <v>59.9358328</v>
      </c>
      <c r="E17">
        <v>30.337224500000001</v>
      </c>
      <c r="F17" s="2">
        <v>59.940600000000003</v>
      </c>
      <c r="G17">
        <v>30.302800000000001</v>
      </c>
      <c r="H17" s="2">
        <f t="shared" si="0"/>
        <v>6.4530029255673567</v>
      </c>
      <c r="I17">
        <f t="shared" si="1"/>
        <v>1994.4803608917998</v>
      </c>
    </row>
    <row r="18" spans="1:9">
      <c r="A18" s="1" t="s">
        <v>197</v>
      </c>
      <c r="B18" s="7">
        <v>59.937196999999998</v>
      </c>
      <c r="C18">
        <v>30.347784999999998</v>
      </c>
      <c r="D18">
        <v>59.937196999999998</v>
      </c>
      <c r="E18">
        <v>30.347784999999998</v>
      </c>
      <c r="F18" s="2">
        <v>59.938699999999997</v>
      </c>
      <c r="G18">
        <v>30.3142</v>
      </c>
      <c r="H18" s="2">
        <f t="shared" si="0"/>
        <v>0</v>
      </c>
      <c r="I18">
        <f t="shared" si="1"/>
        <v>1878.1926968798425</v>
      </c>
    </row>
    <row r="19" spans="1:9">
      <c r="A19" s="1" t="s">
        <v>198</v>
      </c>
      <c r="B19" s="7">
        <v>47.974786000000002</v>
      </c>
      <c r="C19">
        <v>37.801988000000001</v>
      </c>
      <c r="D19">
        <v>59.955775000000003</v>
      </c>
      <c r="E19">
        <v>30.329298000000001</v>
      </c>
      <c r="F19" s="2">
        <v>59.935400000000001</v>
      </c>
      <c r="G19">
        <v>30.3139</v>
      </c>
      <c r="H19" s="2">
        <f t="shared" si="0"/>
        <v>1416939.8242504871</v>
      </c>
      <c r="I19">
        <f t="shared" si="1"/>
        <v>1415197.8392105391</v>
      </c>
    </row>
    <row r="20" spans="1:9">
      <c r="A20" s="1" t="s">
        <v>199</v>
      </c>
      <c r="B20" s="7">
        <v>59.939779999999999</v>
      </c>
      <c r="C20">
        <v>30.299455999999999</v>
      </c>
      <c r="D20">
        <v>59.940756200000003</v>
      </c>
      <c r="E20">
        <v>30.300220400000001</v>
      </c>
      <c r="F20" s="2">
        <v>59.938699999999997</v>
      </c>
      <c r="G20">
        <v>30.3142</v>
      </c>
      <c r="H20" s="2">
        <f t="shared" si="0"/>
        <v>116.59948667381524</v>
      </c>
      <c r="I20">
        <f t="shared" si="1"/>
        <v>829.96827248076602</v>
      </c>
    </row>
    <row r="21" spans="1:9">
      <c r="A21" s="1" t="s">
        <v>200</v>
      </c>
      <c r="B21" s="7">
        <v>59.946302000000003</v>
      </c>
      <c r="C21">
        <v>30.354343</v>
      </c>
      <c r="D21">
        <v>59.946302000000003</v>
      </c>
      <c r="E21">
        <v>30.354343</v>
      </c>
      <c r="F21" s="2">
        <v>59.935899999999997</v>
      </c>
      <c r="G21">
        <v>30.313300000000002</v>
      </c>
      <c r="H21" s="2">
        <f t="shared" si="0"/>
        <v>0</v>
      </c>
      <c r="I21">
        <f t="shared" si="1"/>
        <v>2561.9129988368077</v>
      </c>
    </row>
    <row r="22" spans="1:9">
      <c r="A22" s="1" t="s">
        <v>201</v>
      </c>
      <c r="B22" s="7">
        <v>59.933802999999997</v>
      </c>
      <c r="C22">
        <v>30.348405</v>
      </c>
      <c r="D22">
        <v>59.933817900000001</v>
      </c>
      <c r="E22">
        <v>30.3484245</v>
      </c>
      <c r="F22" s="2">
        <v>59.938899999999997</v>
      </c>
      <c r="G22">
        <v>30.3139</v>
      </c>
      <c r="H22" s="2">
        <f t="shared" si="0"/>
        <v>1.9811839962118578</v>
      </c>
      <c r="I22">
        <f t="shared" si="1"/>
        <v>2003.8988646319847</v>
      </c>
    </row>
    <row r="23" spans="1:9">
      <c r="A23" s="1" t="s">
        <v>10</v>
      </c>
      <c r="B23" s="7">
        <v>56.836509999999997</v>
      </c>
      <c r="C23">
        <v>60.600321999999998</v>
      </c>
      <c r="D23">
        <v>56.836413499999999</v>
      </c>
      <c r="E23">
        <v>60.600282499999999</v>
      </c>
      <c r="F23" s="2">
        <v>56.849800000000002</v>
      </c>
      <c r="G23">
        <v>60.610799999999998</v>
      </c>
      <c r="H23" s="2">
        <f t="shared" si="0"/>
        <v>10.996016258487318</v>
      </c>
      <c r="I23">
        <f t="shared" si="1"/>
        <v>1609.3165052238671</v>
      </c>
    </row>
    <row r="24" spans="1:9">
      <c r="A24" s="1" t="s">
        <v>11</v>
      </c>
      <c r="B24" s="7">
        <v>55.022953999999999</v>
      </c>
      <c r="C24">
        <v>82.922899999999998</v>
      </c>
      <c r="D24">
        <v>55.062888999999998</v>
      </c>
      <c r="E24">
        <v>82.911749999999998</v>
      </c>
      <c r="F24" s="2">
        <v>55.814599999999999</v>
      </c>
      <c r="G24">
        <v>82.9542</v>
      </c>
      <c r="H24" s="2">
        <f t="shared" si="0"/>
        <v>4497.0307417727372</v>
      </c>
      <c r="I24">
        <f t="shared" si="1"/>
        <v>88049.178010527961</v>
      </c>
    </row>
    <row r="25" spans="1:9">
      <c r="A25" s="1" t="s">
        <v>12</v>
      </c>
      <c r="B25" s="7">
        <v>55.790852999999998</v>
      </c>
      <c r="C25">
        <v>49.121783999999998</v>
      </c>
      <c r="D25">
        <v>55.790755599999997</v>
      </c>
      <c r="E25">
        <v>49.121677800000001</v>
      </c>
      <c r="F25" s="2">
        <v>55.7986</v>
      </c>
      <c r="G25">
        <v>49.110799999999998</v>
      </c>
      <c r="H25" s="2">
        <f t="shared" si="0"/>
        <v>12.703370842226882</v>
      </c>
      <c r="I25">
        <f t="shared" si="1"/>
        <v>1101.5801898419668</v>
      </c>
    </row>
    <row r="26" spans="1:9">
      <c r="A26" s="1" t="s">
        <v>13</v>
      </c>
      <c r="B26" s="7">
        <v>56.308974999999997</v>
      </c>
      <c r="C26">
        <v>43.987291999999997</v>
      </c>
      <c r="D26">
        <v>56.308910300000001</v>
      </c>
      <c r="E26">
        <v>43.987319399999997</v>
      </c>
      <c r="F26" s="2">
        <v>56.329799999999999</v>
      </c>
      <c r="G26">
        <v>44.007399999999997</v>
      </c>
      <c r="H26" s="2">
        <f t="shared" si="0"/>
        <v>7.3901599227853758</v>
      </c>
      <c r="I26">
        <f t="shared" si="1"/>
        <v>2626.7168962038527</v>
      </c>
    </row>
    <row r="27" spans="1:9" ht="24.6" customHeight="1">
      <c r="A27" s="1" t="s">
        <v>14</v>
      </c>
      <c r="B27" s="7">
        <v>57.966380999999998</v>
      </c>
      <c r="C27">
        <v>56.244391</v>
      </c>
      <c r="D27">
        <v>53.194324000000002</v>
      </c>
      <c r="E27">
        <v>50.0936898</v>
      </c>
      <c r="F27" s="2">
        <v>53.229799999999997</v>
      </c>
      <c r="G27">
        <v>50.174999999999997</v>
      </c>
      <c r="H27" s="2">
        <f t="shared" si="0"/>
        <v>655958.79670892609</v>
      </c>
      <c r="I27">
        <f t="shared" si="1"/>
        <v>649680.9087910013</v>
      </c>
    </row>
    <row r="28" spans="1:9">
      <c r="A28" s="1" t="s">
        <v>15</v>
      </c>
      <c r="B28" s="7">
        <v>55.159866000000001</v>
      </c>
      <c r="C28">
        <v>61.398043999999999</v>
      </c>
      <c r="D28">
        <v>55.1598343</v>
      </c>
      <c r="E28">
        <v>61.3981365</v>
      </c>
      <c r="F28" s="2">
        <v>55.516800000000003</v>
      </c>
      <c r="G28">
        <v>61.436799999999998</v>
      </c>
      <c r="H28" s="2">
        <f t="shared" si="0"/>
        <v>6.8521715223470219</v>
      </c>
      <c r="I28">
        <f t="shared" si="1"/>
        <v>39764.851822970297</v>
      </c>
    </row>
    <row r="29" spans="1:9">
      <c r="A29" s="1" t="s">
        <v>16</v>
      </c>
      <c r="B29" s="7">
        <v>55.325149000000003</v>
      </c>
      <c r="C29">
        <v>73.095923999999997</v>
      </c>
      <c r="D29">
        <v>54.986441300000003</v>
      </c>
      <c r="E29">
        <v>73.372823299999993</v>
      </c>
      <c r="F29" s="2">
        <v>55.0167</v>
      </c>
      <c r="G29">
        <v>73.366699999999994</v>
      </c>
      <c r="H29" s="2">
        <f t="shared" si="0"/>
        <v>41568.368426375644</v>
      </c>
      <c r="I29">
        <f t="shared" si="1"/>
        <v>38367.317935282626</v>
      </c>
    </row>
    <row r="30" spans="1:9">
      <c r="A30" s="1" t="s">
        <v>17</v>
      </c>
      <c r="B30" s="7">
        <v>47.221679999999999</v>
      </c>
      <c r="C30">
        <v>39.712237000000002</v>
      </c>
      <c r="D30">
        <v>47.2217159</v>
      </c>
      <c r="E30">
        <v>39.712198000000001</v>
      </c>
      <c r="F30" s="2">
        <v>47.199599999999997</v>
      </c>
      <c r="G30">
        <v>39.730600000000003</v>
      </c>
      <c r="H30" s="2">
        <f t="shared" si="0"/>
        <v>4.960827893610344</v>
      </c>
      <c r="I30">
        <f t="shared" si="1"/>
        <v>2819.9020731128389</v>
      </c>
    </row>
    <row r="31" spans="1:9">
      <c r="A31" s="1" t="s">
        <v>18</v>
      </c>
      <c r="B31" s="7">
        <v>54.735151999999999</v>
      </c>
      <c r="C31">
        <v>55.958736000000002</v>
      </c>
      <c r="D31" s="2">
        <v>54.761344999999999</v>
      </c>
      <c r="E31" s="2">
        <v>56.013339000000002</v>
      </c>
      <c r="F31" s="2">
        <v>54.798999999999999</v>
      </c>
      <c r="G31" s="12">
        <v>55.798999999999999</v>
      </c>
      <c r="H31" s="2">
        <f t="shared" si="0"/>
        <v>4556.6621216140411</v>
      </c>
      <c r="I31">
        <f t="shared" si="1"/>
        <v>12466.010189844301</v>
      </c>
    </row>
    <row r="32" spans="1:9">
      <c r="A32" s="1" t="s">
        <v>19</v>
      </c>
      <c r="B32" s="7">
        <v>56.011871999999997</v>
      </c>
      <c r="C32">
        <v>92.873592000000002</v>
      </c>
      <c r="D32">
        <v>56.011566000000002</v>
      </c>
      <c r="E32">
        <v>92.863648600000005</v>
      </c>
      <c r="F32" s="2">
        <v>56.832999999999998</v>
      </c>
      <c r="G32">
        <v>92.866</v>
      </c>
      <c r="H32" s="2">
        <f t="shared" si="0"/>
        <v>619.02313334698613</v>
      </c>
      <c r="I32">
        <f t="shared" si="1"/>
        <v>91306.461297551388</v>
      </c>
    </row>
    <row r="33" spans="1:9">
      <c r="A33" s="1" t="s">
        <v>20</v>
      </c>
      <c r="B33" s="7">
        <v>43.116306000000002</v>
      </c>
      <c r="C33">
        <v>131.881936</v>
      </c>
      <c r="D33">
        <v>43.116320199999997</v>
      </c>
      <c r="E33">
        <v>131.8821121</v>
      </c>
      <c r="F33" s="2">
        <v>42.880800000000001</v>
      </c>
      <c r="G33">
        <v>131.91480000000001</v>
      </c>
      <c r="H33" s="2">
        <f t="shared" si="0"/>
        <v>14.380755105721336</v>
      </c>
      <c r="I33">
        <f t="shared" si="1"/>
        <v>26323.104205786993</v>
      </c>
    </row>
    <row r="34" spans="1:9">
      <c r="A34" s="1" t="s">
        <v>21</v>
      </c>
      <c r="B34" s="7">
        <v>54.711364000000003</v>
      </c>
      <c r="C34">
        <v>20.508215</v>
      </c>
      <c r="D34">
        <v>54.711364000000003</v>
      </c>
      <c r="E34">
        <v>20.508215</v>
      </c>
      <c r="F34" s="2">
        <v>54.729599999999998</v>
      </c>
      <c r="G34">
        <v>20.5002</v>
      </c>
      <c r="H34" s="2">
        <f t="shared" si="0"/>
        <v>0</v>
      </c>
      <c r="I34">
        <f t="shared" si="1"/>
        <v>2092.0641997166972</v>
      </c>
    </row>
    <row r="35" spans="1:9">
      <c r="A35" s="1" t="s">
        <v>22</v>
      </c>
      <c r="B35" s="7">
        <v>52.286839000000001</v>
      </c>
      <c r="C35">
        <v>104.279735</v>
      </c>
      <c r="D35">
        <v>52.286822000000001</v>
      </c>
      <c r="E35">
        <v>104.279714</v>
      </c>
      <c r="F35" s="2">
        <v>52.293500000000002</v>
      </c>
      <c r="G35">
        <v>104.2868</v>
      </c>
      <c r="H35" s="2">
        <f t="shared" si="0"/>
        <v>2.3693048099488792</v>
      </c>
      <c r="I35">
        <f t="shared" si="1"/>
        <v>882.88630220954792</v>
      </c>
    </row>
    <row r="36" spans="1:9">
      <c r="A36" s="1" t="s">
        <v>23</v>
      </c>
      <c r="B36" s="7">
        <v>68.972504999999998</v>
      </c>
      <c r="C36">
        <v>33.084116000000002</v>
      </c>
      <c r="D36">
        <v>68.972595200000001</v>
      </c>
      <c r="E36">
        <v>33.084186600000002</v>
      </c>
      <c r="F36" s="2">
        <v>68.994399999999999</v>
      </c>
      <c r="G36">
        <v>33.066699999999997</v>
      </c>
      <c r="H36" s="2">
        <f t="shared" si="0"/>
        <v>10.417824156469448</v>
      </c>
      <c r="I36">
        <f t="shared" si="1"/>
        <v>2531.7400635092499</v>
      </c>
    </row>
    <row r="37" spans="1:9">
      <c r="A37" s="1" t="s">
        <v>24</v>
      </c>
      <c r="B37" s="7">
        <v>64.540518000000006</v>
      </c>
      <c r="C37">
        <v>40.513202</v>
      </c>
      <c r="D37">
        <v>64.540545800000004</v>
      </c>
      <c r="E37">
        <v>40.513164400000001</v>
      </c>
      <c r="F37" s="2">
        <v>64.563000000000002</v>
      </c>
      <c r="G37">
        <v>34.888399999999997</v>
      </c>
      <c r="H37" s="2">
        <f t="shared" si="0"/>
        <v>3.5757238921815793</v>
      </c>
      <c r="I37">
        <f t="shared" si="1"/>
        <v>268676.45119727729</v>
      </c>
    </row>
    <row r="38" spans="1:9">
      <c r="A38" s="1" t="s">
        <v>25</v>
      </c>
      <c r="B38" s="7">
        <v>57.626342000000001</v>
      </c>
      <c r="C38">
        <v>39.890040999999997</v>
      </c>
      <c r="D38">
        <v>57.626258499999999</v>
      </c>
      <c r="E38">
        <v>39.889879000000001</v>
      </c>
      <c r="F38" s="2">
        <v>57.639400000000002</v>
      </c>
      <c r="G38">
        <v>39.840699999999998</v>
      </c>
      <c r="H38" s="2">
        <f t="shared" si="0"/>
        <v>13.387922887163425</v>
      </c>
      <c r="I38">
        <f t="shared" si="1"/>
        <v>3276.4370889187844</v>
      </c>
    </row>
    <row r="39" spans="1:9">
      <c r="A39" s="1" t="s">
        <v>26</v>
      </c>
      <c r="B39" s="7">
        <v>54.185662000000001</v>
      </c>
      <c r="C39">
        <v>37.609991000000001</v>
      </c>
      <c r="D39">
        <v>54.185737000000003</v>
      </c>
      <c r="E39">
        <v>37.609995099999999</v>
      </c>
      <c r="F39" s="2">
        <v>54.198999999999998</v>
      </c>
      <c r="G39">
        <v>38.383299999999998</v>
      </c>
      <c r="H39" s="2">
        <f t="shared" si="0"/>
        <v>8.3438852915018646</v>
      </c>
      <c r="I39">
        <f t="shared" si="1"/>
        <v>50330.30181529394</v>
      </c>
    </row>
    <row r="40" spans="1:9">
      <c r="A40" s="1" t="s">
        <v>27</v>
      </c>
      <c r="B40" s="7">
        <v>51.729959999999998</v>
      </c>
      <c r="C40">
        <v>36.192126000000002</v>
      </c>
      <c r="D40">
        <v>51.730024200000003</v>
      </c>
      <c r="E40">
        <v>36.192087399999998</v>
      </c>
      <c r="F40" s="2">
        <v>51.749600000000001</v>
      </c>
      <c r="G40">
        <v>36.268999999999998</v>
      </c>
      <c r="H40" s="2">
        <f t="shared" si="0"/>
        <v>7.6176347274257958</v>
      </c>
      <c r="I40">
        <f t="shared" si="1"/>
        <v>5726.0253496063287</v>
      </c>
    </row>
    <row r="41" spans="1:9">
      <c r="A41" s="1" t="s">
        <v>28</v>
      </c>
      <c r="B41" s="7">
        <v>50.594242000000001</v>
      </c>
      <c r="C41">
        <v>36.594095000000003</v>
      </c>
      <c r="D41">
        <v>50.594238500000003</v>
      </c>
      <c r="E41">
        <v>36.594038400000002</v>
      </c>
      <c r="F41" s="2">
        <v>51.639800000000001</v>
      </c>
      <c r="G41">
        <v>36.577199999999998</v>
      </c>
      <c r="H41" s="2">
        <f t="shared" si="0"/>
        <v>4.0141602873572353</v>
      </c>
      <c r="I41">
        <f t="shared" si="1"/>
        <v>116266.72499609241</v>
      </c>
    </row>
    <row r="42" spans="1:9">
      <c r="A42" s="1" t="s">
        <v>29</v>
      </c>
      <c r="B42" s="7">
        <v>43.585472000000003</v>
      </c>
      <c r="C42">
        <v>39.723098</v>
      </c>
      <c r="D42">
        <v>43.550018000000001</v>
      </c>
      <c r="E42">
        <v>39.775981000000002</v>
      </c>
      <c r="F42" s="2">
        <v>43.616700000000002</v>
      </c>
      <c r="G42">
        <v>39.7333</v>
      </c>
      <c r="H42" s="2">
        <f t="shared" si="0"/>
        <v>5804.7278116158395</v>
      </c>
      <c r="I42">
        <f t="shared" si="1"/>
        <v>3568.2460140272206</v>
      </c>
    </row>
    <row r="43" spans="1:9">
      <c r="A43" s="1" t="s">
        <v>30</v>
      </c>
      <c r="B43" s="7">
        <v>58.010455</v>
      </c>
      <c r="C43">
        <v>56.229443000000003</v>
      </c>
      <c r="D43">
        <v>58.009991999999997</v>
      </c>
      <c r="E43">
        <v>56.237366000000002</v>
      </c>
      <c r="F43" s="2">
        <v>56.832999999999998</v>
      </c>
      <c r="G43">
        <v>59.716700000000003</v>
      </c>
      <c r="H43" s="2">
        <f t="shared" si="0"/>
        <v>469.5550884322065</v>
      </c>
      <c r="I43">
        <f t="shared" si="1"/>
        <v>246401.94898428142</v>
      </c>
    </row>
    <row r="44" spans="1:9">
      <c r="A44" s="1" t="s">
        <v>31</v>
      </c>
      <c r="B44" s="7">
        <v>51.666606999999999</v>
      </c>
      <c r="C44">
        <v>39.206556999999997</v>
      </c>
      <c r="D44">
        <v>51.6667123</v>
      </c>
      <c r="E44">
        <v>39.206442199999998</v>
      </c>
      <c r="F44" s="2">
        <v>51.647799999999997</v>
      </c>
      <c r="G44">
        <v>39.207000000000001</v>
      </c>
      <c r="H44" s="2">
        <f t="shared" si="0"/>
        <v>14.134429579505461</v>
      </c>
      <c r="I44">
        <f t="shared" si="1"/>
        <v>2091.4662471577471</v>
      </c>
    </row>
    <row r="45" spans="1:9">
      <c r="A45" s="1" t="s">
        <v>32</v>
      </c>
      <c r="B45" s="7">
        <v>48.708053999999997</v>
      </c>
      <c r="C45">
        <v>44.508944</v>
      </c>
      <c r="D45">
        <v>48.718435700000001</v>
      </c>
      <c r="E45">
        <v>44.530549999999998</v>
      </c>
      <c r="F45" s="2">
        <v>48.497799999999998</v>
      </c>
      <c r="G45">
        <v>44.440600000000003</v>
      </c>
      <c r="H45" s="2">
        <f t="shared" si="0"/>
        <v>1961.0074688748921</v>
      </c>
      <c r="I45">
        <f t="shared" si="1"/>
        <v>23913.176187640045</v>
      </c>
    </row>
    <row r="46" spans="1:9">
      <c r="A46" s="1" t="s">
        <v>33</v>
      </c>
      <c r="B46" s="7">
        <v>51.536121999999999</v>
      </c>
      <c r="C46">
        <v>46.023764</v>
      </c>
      <c r="D46">
        <v>51.536119999999997</v>
      </c>
      <c r="E46">
        <v>46.023758000000001</v>
      </c>
      <c r="F46" s="2">
        <v>51.531399999999998</v>
      </c>
      <c r="G46">
        <v>46.050600000000003</v>
      </c>
      <c r="H46" s="2">
        <f t="shared" si="0"/>
        <v>0.47082577067334802</v>
      </c>
      <c r="I46">
        <f t="shared" si="1"/>
        <v>1929.0563817956051</v>
      </c>
    </row>
    <row r="47" spans="1:9">
      <c r="A47" s="1" t="s">
        <v>34</v>
      </c>
      <c r="B47" s="7">
        <v>57.152017999999998</v>
      </c>
      <c r="C47">
        <v>65.543176000000003</v>
      </c>
      <c r="D47">
        <v>57.152014000000001</v>
      </c>
      <c r="E47">
        <v>65.543163000000007</v>
      </c>
      <c r="F47" s="2">
        <v>57.198999999999998</v>
      </c>
      <c r="G47">
        <v>65.578000000000003</v>
      </c>
      <c r="H47" s="2">
        <f t="shared" si="0"/>
        <v>0.90144470748326155</v>
      </c>
      <c r="I47">
        <f t="shared" si="1"/>
        <v>5630.0744989259674</v>
      </c>
    </row>
    <row r="48" spans="1:9">
      <c r="A48" s="1" t="s">
        <v>35</v>
      </c>
      <c r="B48" s="7">
        <v>53.555689000000001</v>
      </c>
      <c r="C48">
        <v>49.264913</v>
      </c>
      <c r="D48">
        <v>53.555772300000001</v>
      </c>
      <c r="E48">
        <v>49.264992599999999</v>
      </c>
      <c r="F48" s="2">
        <v>53.309800000000003</v>
      </c>
      <c r="G48">
        <v>50.478299999999997</v>
      </c>
      <c r="H48" s="2">
        <f t="shared" si="0"/>
        <v>10.65083785729527</v>
      </c>
      <c r="I48">
        <f t="shared" si="1"/>
        <v>84903.741320854184</v>
      </c>
    </row>
    <row r="49" spans="1:9">
      <c r="A49" s="1" t="s">
        <v>36</v>
      </c>
      <c r="B49" s="7">
        <v>59.451419000000001</v>
      </c>
      <c r="C49">
        <v>30.298781999999999</v>
      </c>
      <c r="D49">
        <v>56.854543800000002</v>
      </c>
      <c r="E49">
        <v>53.211556799999997</v>
      </c>
      <c r="F49" s="2">
        <v>56.849800000000002</v>
      </c>
      <c r="G49">
        <v>53.220599999999997</v>
      </c>
      <c r="H49" s="2">
        <f t="shared" si="0"/>
        <v>1367684.5111663043</v>
      </c>
      <c r="I49">
        <f t="shared" si="1"/>
        <v>1368390.6437270518</v>
      </c>
    </row>
    <row r="50" spans="1:9">
      <c r="A50" s="1" t="s">
        <v>37</v>
      </c>
      <c r="B50" s="7">
        <v>53.346457000000001</v>
      </c>
      <c r="C50">
        <v>83.779308999999998</v>
      </c>
      <c r="D50">
        <v>53.346568499999997</v>
      </c>
      <c r="E50">
        <v>83.779256899999993</v>
      </c>
      <c r="F50" s="2">
        <v>55.933</v>
      </c>
      <c r="G50">
        <v>83.406300000000002</v>
      </c>
      <c r="H50" s="2">
        <f t="shared" si="0"/>
        <v>12.871554169885625</v>
      </c>
      <c r="I50">
        <f t="shared" si="1"/>
        <v>288609.1629011475</v>
      </c>
    </row>
    <row r="51" spans="1:9">
      <c r="A51" s="1" t="s">
        <v>38</v>
      </c>
      <c r="B51" s="7">
        <v>55.325139999999998</v>
      </c>
      <c r="C51">
        <v>73.095923999999997</v>
      </c>
      <c r="D51">
        <v>54.985790899999998</v>
      </c>
      <c r="E51">
        <v>73.374049099999993</v>
      </c>
      <c r="F51" s="2">
        <v>55.798999999999999</v>
      </c>
      <c r="G51">
        <v>82.933800000000005</v>
      </c>
      <c r="H51" s="2">
        <f t="shared" si="0"/>
        <v>41666.025008809484</v>
      </c>
      <c r="I51">
        <f t="shared" si="1"/>
        <v>620338.70058287738</v>
      </c>
    </row>
    <row r="52" spans="1:9">
      <c r="A52" s="1" t="s">
        <v>39</v>
      </c>
      <c r="B52" s="7">
        <v>55.164772999999997</v>
      </c>
      <c r="C52">
        <v>61.400227000000001</v>
      </c>
      <c r="D52">
        <v>55.164772999999997</v>
      </c>
      <c r="E52">
        <v>61.400210000000001</v>
      </c>
      <c r="F52" s="2">
        <v>55.5167</v>
      </c>
      <c r="G52">
        <v>61.4236</v>
      </c>
      <c r="H52" s="2">
        <f t="shared" si="0"/>
        <v>1.0797818549151141</v>
      </c>
      <c r="I52">
        <f t="shared" si="1"/>
        <v>39160.398295365128</v>
      </c>
    </row>
    <row r="53" spans="1:9">
      <c r="A53" s="1" t="s">
        <v>40</v>
      </c>
      <c r="B53" s="7">
        <v>58.529595</v>
      </c>
      <c r="C53">
        <v>31.293478</v>
      </c>
      <c r="D53">
        <v>58.529630099999999</v>
      </c>
      <c r="E53">
        <v>31.2934211</v>
      </c>
      <c r="F53" s="2">
        <v>59.940600000000003</v>
      </c>
      <c r="G53">
        <v>30.323799999999999</v>
      </c>
      <c r="H53" s="2">
        <f t="shared" si="0"/>
        <v>5.1130352973716118</v>
      </c>
      <c r="I53">
        <f t="shared" si="1"/>
        <v>166303.72914939807</v>
      </c>
    </row>
    <row r="54" spans="1:9">
      <c r="A54" s="1" t="s">
        <v>41</v>
      </c>
      <c r="B54" s="7">
        <v>57.813670000000002</v>
      </c>
      <c r="C54">
        <v>28.347443999999999</v>
      </c>
      <c r="D54">
        <v>57.813457700000001</v>
      </c>
      <c r="E54">
        <v>28.3478706</v>
      </c>
      <c r="F54" s="2">
        <v>55.940600000000003</v>
      </c>
      <c r="G54">
        <v>28.387799999999999</v>
      </c>
      <c r="H54" s="2">
        <f t="shared" si="0"/>
        <v>34.579495748346524</v>
      </c>
      <c r="I54">
        <f t="shared" si="1"/>
        <v>208290.30471914713</v>
      </c>
    </row>
    <row r="55" spans="1:9">
      <c r="A55" s="1" t="s">
        <v>42</v>
      </c>
      <c r="B55" s="7">
        <v>54.785927000000001</v>
      </c>
      <c r="C55">
        <v>32.054234000000001</v>
      </c>
      <c r="D55">
        <v>54.785926600000003</v>
      </c>
      <c r="E55">
        <v>32.054146500000002</v>
      </c>
      <c r="F55" s="2">
        <v>54.691699999999997</v>
      </c>
      <c r="G55">
        <v>32.103299999999997</v>
      </c>
      <c r="H55" s="2">
        <f t="shared" si="0"/>
        <v>5.6105595019222907</v>
      </c>
      <c r="I55">
        <f t="shared" si="1"/>
        <v>10940.750248006765</v>
      </c>
    </row>
    <row r="56" spans="1:9">
      <c r="A56" s="1" t="s">
        <v>43</v>
      </c>
      <c r="B56" s="7">
        <v>56.860692999999998</v>
      </c>
      <c r="C56">
        <v>35.902876999999997</v>
      </c>
      <c r="D56">
        <v>56.860759700000003</v>
      </c>
      <c r="E56">
        <v>35.9027885</v>
      </c>
      <c r="F56" s="2">
        <v>56.849800000000002</v>
      </c>
      <c r="G56">
        <v>34.506799999999998</v>
      </c>
      <c r="H56" s="2">
        <f t="shared" si="0"/>
        <v>9.162350462665632</v>
      </c>
      <c r="I56">
        <f t="shared" si="1"/>
        <v>84883.775973589538</v>
      </c>
    </row>
    <row r="57" spans="1:9">
      <c r="A57" s="1" t="s">
        <v>44</v>
      </c>
      <c r="B57" s="7">
        <v>57.767144999999999</v>
      </c>
      <c r="C57">
        <v>40.928294999999999</v>
      </c>
      <c r="D57">
        <v>57.760573600000001</v>
      </c>
      <c r="E57">
        <v>40.954891799999999</v>
      </c>
      <c r="F57" s="2">
        <v>59.450600000000001</v>
      </c>
      <c r="G57">
        <v>39.828000000000003</v>
      </c>
      <c r="H57" s="2">
        <f t="shared" si="0"/>
        <v>1738.5360790400662</v>
      </c>
      <c r="I57">
        <f t="shared" si="1"/>
        <v>197735.23913030062</v>
      </c>
    </row>
    <row r="58" spans="1:9">
      <c r="A58" s="1" t="s">
        <v>45</v>
      </c>
      <c r="B58" s="7">
        <v>56.128369999999997</v>
      </c>
      <c r="C58">
        <v>40.410209999999999</v>
      </c>
      <c r="D58">
        <v>56.128279599999999</v>
      </c>
      <c r="E58">
        <v>40.410119999999999</v>
      </c>
      <c r="F58" s="2">
        <v>56.149799999999999</v>
      </c>
      <c r="G58">
        <v>39.860599999999998</v>
      </c>
      <c r="H58" s="2">
        <f t="shared" si="0"/>
        <v>11.495747589418588</v>
      </c>
      <c r="I58">
        <f t="shared" si="1"/>
        <v>34134.521211363601</v>
      </c>
    </row>
    <row r="59" spans="1:9">
      <c r="A59" s="1" t="s">
        <v>46</v>
      </c>
      <c r="B59" s="7">
        <v>54.629336000000002</v>
      </c>
      <c r="C59">
        <v>39.742078999999997</v>
      </c>
      <c r="D59">
        <v>54.651502299999997</v>
      </c>
      <c r="E59">
        <v>39.606263400000003</v>
      </c>
      <c r="F59" s="2">
        <v>54.679600000000001</v>
      </c>
      <c r="G59">
        <v>39.7682</v>
      </c>
      <c r="H59" s="2">
        <f t="shared" si="0"/>
        <v>9080.5336080922007</v>
      </c>
      <c r="I59">
        <f t="shared" si="1"/>
        <v>5836.2154963779331</v>
      </c>
    </row>
    <row r="60" spans="1:9">
      <c r="A60" s="1" t="s">
        <v>47</v>
      </c>
      <c r="B60" s="7">
        <v>52.596207999999997</v>
      </c>
      <c r="C60">
        <v>39.568758000000003</v>
      </c>
      <c r="D60">
        <v>52.596822699999997</v>
      </c>
      <c r="E60">
        <v>39.5675642</v>
      </c>
      <c r="H60" s="2">
        <f t="shared" si="0"/>
        <v>105.70470663178256</v>
      </c>
      <c r="I60">
        <f t="shared" si="1"/>
        <v>6902949.2119458411</v>
      </c>
    </row>
    <row r="61" spans="1:9">
      <c r="A61" s="1" t="s">
        <v>48</v>
      </c>
      <c r="B61" s="7">
        <v>52.721840999999998</v>
      </c>
      <c r="C61">
        <v>41.453028000000003</v>
      </c>
      <c r="D61">
        <v>52.721876700000003</v>
      </c>
      <c r="E61">
        <v>41.4530709</v>
      </c>
      <c r="F61" s="2">
        <v>52.741700000000002</v>
      </c>
      <c r="G61">
        <v>39.2667</v>
      </c>
      <c r="H61" s="2">
        <f t="shared" si="0"/>
        <v>4.9097969472223566</v>
      </c>
      <c r="I61">
        <f t="shared" si="1"/>
        <v>147224.62532249084</v>
      </c>
    </row>
    <row r="62" spans="1:9">
      <c r="A62" s="1" t="s">
        <v>49</v>
      </c>
      <c r="B62" s="7">
        <v>54.313634999999998</v>
      </c>
      <c r="C62">
        <v>48.396386</v>
      </c>
      <c r="D62">
        <v>54.313606200000002</v>
      </c>
      <c r="E62">
        <v>48.3962881</v>
      </c>
      <c r="F62" s="2">
        <v>53.982999999999997</v>
      </c>
      <c r="G62">
        <v>50.206299999999999</v>
      </c>
      <c r="H62" s="2">
        <f t="shared" si="0"/>
        <v>7.1121020335942404</v>
      </c>
      <c r="I62">
        <f t="shared" si="1"/>
        <v>123468.24921345038</v>
      </c>
    </row>
    <row r="63" spans="1:9">
      <c r="A63" s="1" t="s">
        <v>50</v>
      </c>
      <c r="B63" s="7">
        <v>44.608564000000001</v>
      </c>
      <c r="C63">
        <v>40.104422999999997</v>
      </c>
      <c r="D63">
        <v>44.608484799999999</v>
      </c>
      <c r="E63">
        <v>40.104488699999997</v>
      </c>
      <c r="H63" s="2">
        <f t="shared" si="0"/>
        <v>10.227743362237705</v>
      </c>
      <c r="I63">
        <f t="shared" si="1"/>
        <v>6338952.1808271473</v>
      </c>
    </row>
    <row r="64" spans="1:9">
      <c r="A64" s="1" t="s">
        <v>51</v>
      </c>
      <c r="B64" s="7">
        <v>56.844707</v>
      </c>
      <c r="C64">
        <v>53.199291000000002</v>
      </c>
      <c r="D64">
        <v>56.8445714</v>
      </c>
      <c r="E64">
        <v>53.198754000000001</v>
      </c>
      <c r="F64" s="2">
        <v>56.849800000000002</v>
      </c>
      <c r="G64">
        <v>53.229799999999997</v>
      </c>
      <c r="H64" s="2">
        <f t="shared" si="0"/>
        <v>35.969784618669102</v>
      </c>
      <c r="I64">
        <f t="shared" si="1"/>
        <v>1939.7467461802512</v>
      </c>
    </row>
    <row r="65" spans="1:9">
      <c r="A65" s="1" t="s">
        <v>52</v>
      </c>
      <c r="B65" s="7">
        <v>51.720073999999997</v>
      </c>
      <c r="C65">
        <v>94.439598000000004</v>
      </c>
      <c r="D65">
        <v>51.720112899999997</v>
      </c>
      <c r="E65">
        <v>94.439531799999997</v>
      </c>
      <c r="F65" s="2">
        <v>51.849600000000002</v>
      </c>
      <c r="G65">
        <v>89.677999999999997</v>
      </c>
      <c r="H65" s="2">
        <f t="shared" si="0"/>
        <v>6.285341220013839</v>
      </c>
      <c r="I65">
        <f t="shared" si="1"/>
        <v>327793.99785297853</v>
      </c>
    </row>
    <row r="66" spans="1:9">
      <c r="A66" s="1" t="s">
        <v>53</v>
      </c>
      <c r="B66" s="7">
        <v>53.721151999999996</v>
      </c>
      <c r="C66">
        <v>91.442396000000002</v>
      </c>
      <c r="D66">
        <v>53.721547899999997</v>
      </c>
      <c r="E66">
        <v>91.442205799999996</v>
      </c>
      <c r="F66" s="2">
        <v>56.940600000000003</v>
      </c>
      <c r="G66">
        <v>91.338999999999999</v>
      </c>
      <c r="H66" s="2">
        <f t="shared" si="0"/>
        <v>45.766258457394507</v>
      </c>
      <c r="I66">
        <f t="shared" si="1"/>
        <v>358045.9036062255</v>
      </c>
    </row>
    <row r="67" spans="1:9">
      <c r="A67" s="1" t="s">
        <v>54</v>
      </c>
      <c r="B67" s="7">
        <v>66.526521000000002</v>
      </c>
      <c r="C67">
        <v>66.606870999999998</v>
      </c>
      <c r="D67">
        <v>66.526417800000004</v>
      </c>
      <c r="E67">
        <v>66.606641999999994</v>
      </c>
      <c r="F67" s="2">
        <v>66.533000000000001</v>
      </c>
      <c r="G67">
        <v>66.897999999999996</v>
      </c>
      <c r="H67" s="2">
        <f t="shared" si="0"/>
        <v>15.315336827571047</v>
      </c>
      <c r="I67">
        <f t="shared" si="1"/>
        <v>12913.010848028285</v>
      </c>
    </row>
    <row r="68" spans="1:9">
      <c r="A68" s="1" t="s">
        <v>55</v>
      </c>
      <c r="B68" s="7">
        <v>53.011085000000001</v>
      </c>
      <c r="C68">
        <v>158.652783</v>
      </c>
      <c r="D68">
        <v>53.010974099999999</v>
      </c>
      <c r="E68">
        <v>158.6528568</v>
      </c>
      <c r="F68" s="2">
        <v>53.5398</v>
      </c>
      <c r="G68">
        <v>158.63890000000001</v>
      </c>
      <c r="H68" s="2">
        <f t="shared" ref="H68:H102" si="2">2*6371*ASIN(SQRT(POWER(SIN((RADIANS(B68-D68))/2),2)+POWER(SIN((RADIANS(C68-E68))/2),2)*COS(RADIANS(B68))*COS(RADIANS(D68))))*1000</f>
        <v>13.283210717399189</v>
      </c>
      <c r="I68">
        <f t="shared" ref="I68:I102" si="3">2*6371*ASIN(SQRT(POWER(SIN((RADIANS(B68-F68))/2),2)+POWER(SIN((RADIANS(C68-G68))/2),2)*COS(RADIANS(B68))*COS(RADIANS(F68))))*1000</f>
        <v>58797.671843885983</v>
      </c>
    </row>
    <row r="69" spans="1:9">
      <c r="A69" s="1" t="s">
        <v>56</v>
      </c>
      <c r="B69" s="7">
        <v>46.963133999999997</v>
      </c>
      <c r="C69">
        <v>142.727521</v>
      </c>
      <c r="D69">
        <v>46.963125300000002</v>
      </c>
      <c r="E69">
        <v>142.72743159999999</v>
      </c>
      <c r="F69" s="2">
        <v>46.500599999999999</v>
      </c>
      <c r="G69">
        <v>142.88919999999999</v>
      </c>
      <c r="H69" s="2">
        <f t="shared" si="2"/>
        <v>6.8529293750438489</v>
      </c>
      <c r="I69">
        <f t="shared" si="3"/>
        <v>52886.930740398755</v>
      </c>
    </row>
    <row r="70" spans="1:9">
      <c r="A70" s="1" t="s">
        <v>57</v>
      </c>
      <c r="B70" s="7">
        <v>59.569043999999998</v>
      </c>
      <c r="C70">
        <v>150.80864</v>
      </c>
      <c r="D70">
        <v>59.569097300000003</v>
      </c>
      <c r="E70">
        <v>150.80861229999999</v>
      </c>
      <c r="F70" s="2">
        <v>59.549599999999998</v>
      </c>
      <c r="G70">
        <v>140.79329999999999</v>
      </c>
      <c r="H70" s="2">
        <f t="shared" si="2"/>
        <v>6.1285775094697881</v>
      </c>
      <c r="I70">
        <f t="shared" si="3"/>
        <v>563698.74334886787</v>
      </c>
    </row>
    <row r="71" spans="1:9">
      <c r="A71" s="1" t="s">
        <v>58</v>
      </c>
      <c r="B71" s="7">
        <v>64.734993000000003</v>
      </c>
      <c r="C71">
        <v>177.51098999999999</v>
      </c>
      <c r="D71">
        <v>64.735092499999993</v>
      </c>
      <c r="E71">
        <v>177.510987</v>
      </c>
      <c r="F71" s="2">
        <v>64.529600000000002</v>
      </c>
      <c r="G71">
        <v>-168.62889999999999</v>
      </c>
      <c r="H71" s="2">
        <f t="shared" si="2"/>
        <v>11.064811241435983</v>
      </c>
      <c r="I71">
        <f t="shared" si="3"/>
        <v>659354.32975795376</v>
      </c>
    </row>
    <row r="72" spans="1:9">
      <c r="A72" s="1" t="s">
        <v>59</v>
      </c>
      <c r="B72" s="7">
        <v>55.099778000000001</v>
      </c>
      <c r="C72">
        <v>36.602674</v>
      </c>
      <c r="D72">
        <v>55.099778000000001</v>
      </c>
      <c r="E72">
        <v>36.602674</v>
      </c>
      <c r="F72" s="2">
        <v>54.683</v>
      </c>
      <c r="G72">
        <v>36.383000000000003</v>
      </c>
      <c r="H72" s="2">
        <f t="shared" si="2"/>
        <v>0</v>
      </c>
      <c r="I72">
        <f t="shared" si="3"/>
        <v>48426.043736699823</v>
      </c>
    </row>
    <row r="73" spans="1:9">
      <c r="A73" s="1" t="s">
        <v>60</v>
      </c>
      <c r="B73" s="7">
        <v>55.917844000000002</v>
      </c>
      <c r="C73">
        <v>37.869011</v>
      </c>
      <c r="D73">
        <v>55.917825000000001</v>
      </c>
      <c r="E73">
        <v>37.868993000000003</v>
      </c>
      <c r="F73" s="2">
        <v>55.798000000000002</v>
      </c>
      <c r="G73">
        <v>37.738</v>
      </c>
      <c r="H73" s="2">
        <f t="shared" si="2"/>
        <v>2.3919700539958422</v>
      </c>
      <c r="I73">
        <f t="shared" si="3"/>
        <v>15634.32271511515</v>
      </c>
    </row>
    <row r="74" spans="1:9">
      <c r="A74" s="1" t="s">
        <v>61</v>
      </c>
      <c r="B74" s="7">
        <v>56.011318000000003</v>
      </c>
      <c r="C74">
        <v>37.847163999999999</v>
      </c>
      <c r="D74">
        <v>56.010123</v>
      </c>
      <c r="E74">
        <v>37.8504139</v>
      </c>
      <c r="F74" s="2">
        <v>55.966799999999999</v>
      </c>
      <c r="G74">
        <v>37.787300000000002</v>
      </c>
      <c r="H74" s="2">
        <f t="shared" si="2"/>
        <v>241.8035504256377</v>
      </c>
      <c r="I74">
        <f t="shared" si="3"/>
        <v>6194.1633471095847</v>
      </c>
    </row>
    <row r="75" spans="1:9">
      <c r="A75" s="1" t="s">
        <v>62</v>
      </c>
      <c r="B75" s="7">
        <v>60.0212</v>
      </c>
      <c r="C75">
        <v>30.653707000000001</v>
      </c>
      <c r="D75">
        <v>60.021239600000001</v>
      </c>
      <c r="E75">
        <v>30.653715200000001</v>
      </c>
      <c r="F75" s="2">
        <v>59.883000000000003</v>
      </c>
      <c r="G75">
        <v>30.466000000000001</v>
      </c>
      <c r="H75" s="2">
        <f t="shared" si="2"/>
        <v>4.4268269152982596</v>
      </c>
      <c r="I75">
        <f t="shared" si="3"/>
        <v>18584.259548965514</v>
      </c>
    </row>
    <row r="76" spans="1:9">
      <c r="A76" s="1" t="s">
        <v>63</v>
      </c>
      <c r="B76" s="7">
        <v>60.710901</v>
      </c>
      <c r="C76">
        <v>28.737582</v>
      </c>
      <c r="D76">
        <v>60.710831200000001</v>
      </c>
      <c r="E76">
        <v>28.737556699999999</v>
      </c>
      <c r="F76" s="2">
        <v>60.094799999999999</v>
      </c>
      <c r="G76">
        <v>29.907399999999999</v>
      </c>
      <c r="H76" s="2">
        <f t="shared" si="2"/>
        <v>7.8824850364226995</v>
      </c>
      <c r="I76">
        <f t="shared" si="3"/>
        <v>93915.845601592795</v>
      </c>
    </row>
    <row r="77" spans="1:9">
      <c r="A77" s="1" t="s">
        <v>64</v>
      </c>
      <c r="B77" s="7">
        <v>57.255006000000002</v>
      </c>
      <c r="C77">
        <v>60.102988000000003</v>
      </c>
      <c r="D77">
        <v>57.255073500000002</v>
      </c>
      <c r="E77">
        <v>60.102992999999998</v>
      </c>
      <c r="F77" s="2">
        <v>56.906799999999997</v>
      </c>
      <c r="G77">
        <v>60.375799999999998</v>
      </c>
      <c r="H77" s="2">
        <f t="shared" si="2"/>
        <v>7.5116797013228478</v>
      </c>
      <c r="I77">
        <f t="shared" si="3"/>
        <v>42082.265498103719</v>
      </c>
    </row>
    <row r="78" spans="1:9">
      <c r="A78" s="1" t="s">
        <v>65</v>
      </c>
      <c r="B78" s="7">
        <v>55.769280999999999</v>
      </c>
      <c r="C78">
        <v>60.694367</v>
      </c>
      <c r="D78">
        <v>55.769253599999999</v>
      </c>
      <c r="E78">
        <v>60.694314499999997</v>
      </c>
      <c r="H78" s="2">
        <f t="shared" si="2"/>
        <v>4.4795663046014731</v>
      </c>
      <c r="I78">
        <f t="shared" si="3"/>
        <v>8230402.3054558998</v>
      </c>
    </row>
    <row r="79" spans="1:9">
      <c r="A79" s="1" t="s">
        <v>66</v>
      </c>
      <c r="B79" s="7">
        <v>55.081375000000001</v>
      </c>
      <c r="C79">
        <v>21.889258000000002</v>
      </c>
      <c r="D79">
        <v>55.081468800000003</v>
      </c>
      <c r="E79">
        <v>21.889238299999999</v>
      </c>
      <c r="F79" s="2">
        <v>54.971400000000003</v>
      </c>
      <c r="G79">
        <v>21.566700000000001</v>
      </c>
      <c r="H79" s="2">
        <f t="shared" si="2"/>
        <v>10.505184300690635</v>
      </c>
      <c r="I79">
        <f t="shared" si="3"/>
        <v>23920.78198197368</v>
      </c>
    </row>
    <row r="80" spans="1:9">
      <c r="A80" s="1" t="s">
        <v>67</v>
      </c>
      <c r="B80" s="7">
        <v>43.797429000000001</v>
      </c>
      <c r="C80">
        <v>131.95347799999999</v>
      </c>
      <c r="D80">
        <v>43.797487199999999</v>
      </c>
      <c r="E80">
        <v>131.9533744</v>
      </c>
      <c r="F80" s="2">
        <v>43.879600000000003</v>
      </c>
      <c r="G80">
        <v>131.87819999999999</v>
      </c>
      <c r="H80" s="2">
        <f t="shared" si="2"/>
        <v>10.536516176692892</v>
      </c>
      <c r="I80">
        <f t="shared" si="3"/>
        <v>10951.601691508986</v>
      </c>
    </row>
    <row r="81" spans="1:9">
      <c r="A81" s="1" t="s">
        <v>68</v>
      </c>
      <c r="B81" s="7">
        <v>53.189917000000001</v>
      </c>
      <c r="C81">
        <v>158.38256100000001</v>
      </c>
      <c r="D81">
        <v>53.189897000000002</v>
      </c>
      <c r="E81">
        <v>158.38254699999999</v>
      </c>
      <c r="F81" s="2">
        <v>54.982999999999997</v>
      </c>
      <c r="G81">
        <v>158.68299999999999</v>
      </c>
      <c r="H81" s="2">
        <f t="shared" si="2"/>
        <v>2.41158100051359</v>
      </c>
      <c r="I81">
        <f t="shared" si="3"/>
        <v>200341.82807902407</v>
      </c>
    </row>
    <row r="82" spans="1:9">
      <c r="A82" s="1" t="s">
        <v>69</v>
      </c>
      <c r="B82" s="7">
        <v>48.581251999999999</v>
      </c>
      <c r="C82">
        <v>45.737623999999997</v>
      </c>
      <c r="D82">
        <v>48.5813281</v>
      </c>
      <c r="E82">
        <v>45.737617800000002</v>
      </c>
      <c r="H82" s="2">
        <f t="shared" si="2"/>
        <v>8.4742160249188316</v>
      </c>
      <c r="I82">
        <f t="shared" si="3"/>
        <v>6949811.5512079867</v>
      </c>
    </row>
    <row r="83" spans="1:9">
      <c r="A83" s="1" t="s">
        <v>70</v>
      </c>
      <c r="B83" s="7">
        <v>55.889082999999999</v>
      </c>
      <c r="C83">
        <v>37.445518</v>
      </c>
      <c r="D83">
        <v>55.889074000000001</v>
      </c>
      <c r="E83">
        <v>37.445501</v>
      </c>
      <c r="F83" s="2">
        <v>55.839799999999997</v>
      </c>
      <c r="G83">
        <v>37.699800000000003</v>
      </c>
      <c r="H83" s="2">
        <f t="shared" si="2"/>
        <v>1.4578350369933641</v>
      </c>
      <c r="I83">
        <f t="shared" si="3"/>
        <v>16786.206021919443</v>
      </c>
    </row>
    <row r="84" spans="1:9">
      <c r="A84" s="1" t="s">
        <v>71</v>
      </c>
      <c r="B84" s="7">
        <v>55.751629000000001</v>
      </c>
      <c r="C84">
        <v>38.012282999999996</v>
      </c>
      <c r="D84">
        <v>55.751605699999999</v>
      </c>
      <c r="E84">
        <v>38.012061199999998</v>
      </c>
      <c r="F84" s="2">
        <v>55.760599999999997</v>
      </c>
      <c r="G84">
        <v>37.700200000000002</v>
      </c>
      <c r="H84" s="2">
        <f t="shared" si="2"/>
        <v>14.119636714612804</v>
      </c>
      <c r="I84">
        <f t="shared" si="3"/>
        <v>19552.86684875812</v>
      </c>
    </row>
    <row r="85" spans="1:9">
      <c r="A85" s="1" t="s">
        <v>72</v>
      </c>
      <c r="B85" s="7">
        <v>59.848809000000003</v>
      </c>
      <c r="C85">
        <v>30.322327000000001</v>
      </c>
      <c r="D85">
        <v>59.848804999999999</v>
      </c>
      <c r="E85">
        <v>30.322317999999999</v>
      </c>
      <c r="F85" s="2">
        <v>59.760599999999997</v>
      </c>
      <c r="G85">
        <v>30.268799999999999</v>
      </c>
      <c r="H85" s="2">
        <f t="shared" si="2"/>
        <v>0.67119185544546578</v>
      </c>
      <c r="I85">
        <f t="shared" si="3"/>
        <v>10255.033309424914</v>
      </c>
    </row>
    <row r="86" spans="1:9">
      <c r="A86" s="1" t="s">
        <v>73</v>
      </c>
      <c r="B86" s="7">
        <v>56.823093999999998</v>
      </c>
      <c r="C86">
        <v>60.619078999999999</v>
      </c>
      <c r="D86">
        <v>56.823059999999998</v>
      </c>
      <c r="E86">
        <v>60.619160000000001</v>
      </c>
      <c r="F86" s="2">
        <v>56.849800000000002</v>
      </c>
      <c r="G86">
        <v>60.6158</v>
      </c>
      <c r="H86" s="2">
        <f t="shared" si="2"/>
        <v>6.211741007957861</v>
      </c>
      <c r="I86">
        <f t="shared" si="3"/>
        <v>2976.262287494189</v>
      </c>
    </row>
    <row r="87" spans="1:9">
      <c r="A87" s="1" t="s">
        <v>74</v>
      </c>
      <c r="B87" s="7">
        <v>55.018711000000003</v>
      </c>
      <c r="C87">
        <v>82.937848000000002</v>
      </c>
      <c r="D87">
        <v>55.018571000000001</v>
      </c>
      <c r="E87">
        <v>82.937764000000001</v>
      </c>
      <c r="F87" s="2">
        <v>55.819000000000003</v>
      </c>
      <c r="G87">
        <v>82.944999999999993</v>
      </c>
      <c r="H87" s="2">
        <f t="shared" si="2"/>
        <v>16.462556656181167</v>
      </c>
      <c r="I87">
        <f t="shared" si="3"/>
        <v>88989.221244598404</v>
      </c>
    </row>
    <row r="88" spans="1:9">
      <c r="A88" s="1" t="s">
        <v>75</v>
      </c>
      <c r="B88" s="7">
        <v>55.790291000000003</v>
      </c>
      <c r="C88">
        <v>49.115234999999998</v>
      </c>
      <c r="D88">
        <v>55.790272799999997</v>
      </c>
      <c r="E88">
        <v>49.115232399999996</v>
      </c>
      <c r="F88" s="2">
        <v>55.798999999999999</v>
      </c>
      <c r="G88">
        <v>49.101399999999998</v>
      </c>
      <c r="H88" s="2">
        <f t="shared" si="2"/>
        <v>2.0302646968484153</v>
      </c>
      <c r="I88">
        <f t="shared" si="3"/>
        <v>1298.345766600065</v>
      </c>
    </row>
    <row r="89" spans="1:9">
      <c r="A89" s="1" t="s">
        <v>76</v>
      </c>
      <c r="B89" s="7">
        <v>56.327520999999997</v>
      </c>
      <c r="C89">
        <v>43.984247000000003</v>
      </c>
      <c r="D89">
        <v>56.327630399999997</v>
      </c>
      <c r="E89">
        <v>43.984307299999998</v>
      </c>
      <c r="F89" s="2">
        <v>56.329799999999999</v>
      </c>
      <c r="G89">
        <v>44.007399999999997</v>
      </c>
      <c r="H89" s="2">
        <f t="shared" si="2"/>
        <v>12.720098671874107</v>
      </c>
      <c r="I89">
        <f t="shared" si="3"/>
        <v>1449.69398582701</v>
      </c>
    </row>
    <row r="90" spans="1:9">
      <c r="A90" s="1" t="s">
        <v>77</v>
      </c>
      <c r="B90" s="7">
        <v>53.184995999999998</v>
      </c>
      <c r="C90">
        <v>50.100687000000001</v>
      </c>
      <c r="D90">
        <v>53.184930999999999</v>
      </c>
      <c r="E90">
        <v>50.100783</v>
      </c>
      <c r="F90" s="2">
        <v>53.229799999999997</v>
      </c>
      <c r="G90">
        <v>50.202800000000003</v>
      </c>
      <c r="H90" s="2">
        <f t="shared" si="2"/>
        <v>9.6517522713468189</v>
      </c>
      <c r="I90">
        <f t="shared" si="3"/>
        <v>8430.0430799992318</v>
      </c>
    </row>
    <row r="91" spans="1:9">
      <c r="A91" s="1" t="s">
        <v>78</v>
      </c>
      <c r="B91" s="7">
        <v>55.159464999999997</v>
      </c>
      <c r="C91">
        <v>61.399185000000003</v>
      </c>
      <c r="D91">
        <v>55.159395400000001</v>
      </c>
      <c r="E91">
        <v>61.3991392</v>
      </c>
      <c r="F91" s="2">
        <v>55.696399999999997</v>
      </c>
      <c r="G91">
        <v>61.435400000000001</v>
      </c>
      <c r="H91" s="2">
        <f t="shared" si="2"/>
        <v>8.2679863602934098</v>
      </c>
      <c r="I91">
        <f t="shared" si="3"/>
        <v>59748.157009323397</v>
      </c>
    </row>
    <row r="92" spans="1:9">
      <c r="A92" s="1" t="s">
        <v>79</v>
      </c>
      <c r="B92" s="7">
        <v>55.016461</v>
      </c>
      <c r="C92">
        <v>73.318077000000002</v>
      </c>
      <c r="D92">
        <v>55.016452000000001</v>
      </c>
      <c r="E92">
        <v>73.317992000000004</v>
      </c>
      <c r="F92" s="2">
        <v>55.198</v>
      </c>
      <c r="G92">
        <v>73.376000000000005</v>
      </c>
      <c r="H92" s="2">
        <f t="shared" si="2"/>
        <v>5.5106060889515946</v>
      </c>
      <c r="I92">
        <f t="shared" si="3"/>
        <v>20519.694665341493</v>
      </c>
    </row>
    <row r="93" spans="1:9">
      <c r="A93" s="1" t="s">
        <v>80</v>
      </c>
      <c r="B93" s="7">
        <v>55.738413999999999</v>
      </c>
      <c r="C93">
        <v>37.596372000000002</v>
      </c>
      <c r="D93">
        <v>55.7384798</v>
      </c>
      <c r="E93">
        <v>37.595928200000003</v>
      </c>
      <c r="F93" s="2">
        <v>55.758600000000001</v>
      </c>
      <c r="G93">
        <v>37.616700000000002</v>
      </c>
      <c r="H93" s="2">
        <f t="shared" si="2"/>
        <v>28.729003314573735</v>
      </c>
      <c r="I93">
        <f t="shared" si="3"/>
        <v>2580.0438503965406</v>
      </c>
    </row>
    <row r="94" spans="1:9">
      <c r="A94" s="1" t="s">
        <v>81</v>
      </c>
      <c r="B94" s="7">
        <v>59.448867</v>
      </c>
      <c r="C94">
        <v>30.297498000000001</v>
      </c>
      <c r="D94">
        <v>59.925362999999997</v>
      </c>
      <c r="E94">
        <v>30.343652599999999</v>
      </c>
      <c r="F94" s="2">
        <v>59.9407</v>
      </c>
      <c r="G94">
        <v>30.317</v>
      </c>
      <c r="H94" s="2">
        <f t="shared" si="2"/>
        <v>53047.214789917896</v>
      </c>
      <c r="I94">
        <f t="shared" si="3"/>
        <v>54700.279747471955</v>
      </c>
    </row>
    <row r="95" spans="1:9">
      <c r="A95" s="1" t="s">
        <v>82</v>
      </c>
      <c r="B95" s="7">
        <v>56.836106000000001</v>
      </c>
      <c r="C95">
        <v>60.614649999999997</v>
      </c>
      <c r="D95">
        <v>56.836094000000003</v>
      </c>
      <c r="E95">
        <v>60.614637000000002</v>
      </c>
      <c r="F95" s="2">
        <v>56.849800000000002</v>
      </c>
      <c r="G95">
        <v>60.6158</v>
      </c>
      <c r="H95" s="2">
        <f t="shared" si="2"/>
        <v>1.5510514852297537</v>
      </c>
      <c r="I95">
        <f t="shared" si="3"/>
        <v>1524.3086546696441</v>
      </c>
    </row>
    <row r="96" spans="1:9">
      <c r="A96" s="1" t="s">
        <v>83</v>
      </c>
      <c r="B96" s="7">
        <v>55.036943000000001</v>
      </c>
      <c r="C96">
        <v>82.916332999999995</v>
      </c>
      <c r="D96">
        <v>55.036937999999999</v>
      </c>
      <c r="E96">
        <v>82.916359999999997</v>
      </c>
      <c r="F96" s="2">
        <v>55.848999999999997</v>
      </c>
      <c r="G96">
        <v>82.956000000000003</v>
      </c>
      <c r="H96" s="2">
        <f t="shared" si="2"/>
        <v>1.8080448805390688</v>
      </c>
      <c r="I96">
        <f t="shared" si="3"/>
        <v>90331.268544475213</v>
      </c>
    </row>
    <row r="97" spans="1:9">
      <c r="A97" s="1" t="s">
        <v>84</v>
      </c>
      <c r="B97" s="7">
        <v>55.626201999999999</v>
      </c>
      <c r="C97">
        <v>52.248254000000003</v>
      </c>
      <c r="D97">
        <v>55.781252700000003</v>
      </c>
      <c r="E97">
        <v>49.113282099999999</v>
      </c>
      <c r="F97" s="2">
        <v>55.798999999999999</v>
      </c>
      <c r="G97">
        <v>49.1113</v>
      </c>
      <c r="H97" s="2">
        <f t="shared" si="2"/>
        <v>197160.58084294491</v>
      </c>
      <c r="I97">
        <f t="shared" si="3"/>
        <v>197421.97855239842</v>
      </c>
    </row>
    <row r="98" spans="1:9">
      <c r="A98" s="1" t="s">
        <v>85</v>
      </c>
      <c r="B98" s="7">
        <v>56.324102000000003</v>
      </c>
      <c r="C98">
        <v>44.007638999999998</v>
      </c>
      <c r="F98" s="2">
        <v>56.349600000000002</v>
      </c>
      <c r="G98">
        <v>44.007399999999997</v>
      </c>
      <c r="H98" s="2">
        <f t="shared" si="2"/>
        <v>7393979.9908268424</v>
      </c>
      <c r="I98">
        <f t="shared" si="3"/>
        <v>2835.2865084746541</v>
      </c>
    </row>
    <row r="99" spans="1:9">
      <c r="A99" s="1" t="s">
        <v>86</v>
      </c>
      <c r="B99" s="7">
        <v>53.200544000000001</v>
      </c>
      <c r="C99">
        <v>50.109338000000001</v>
      </c>
      <c r="D99">
        <v>53.196039300000002</v>
      </c>
      <c r="E99">
        <v>50.1050161</v>
      </c>
      <c r="F99" s="2">
        <v>53.222999999999999</v>
      </c>
      <c r="G99">
        <v>50.216999999999999</v>
      </c>
      <c r="H99" s="2">
        <f t="shared" si="2"/>
        <v>577.73617687051535</v>
      </c>
      <c r="I99">
        <f t="shared" si="3"/>
        <v>7591.6210119290881</v>
      </c>
    </row>
    <row r="100" spans="1:9">
      <c r="A100" s="1" t="s">
        <v>87</v>
      </c>
      <c r="B100" s="7">
        <v>55.157998999999997</v>
      </c>
      <c r="C100">
        <v>61.385342000000001</v>
      </c>
      <c r="D100">
        <v>55.1577731</v>
      </c>
      <c r="E100">
        <v>61.381725000000003</v>
      </c>
      <c r="F100" s="2">
        <v>55.502000000000002</v>
      </c>
      <c r="G100">
        <v>61.439799999999998</v>
      </c>
      <c r="H100" s="2">
        <f t="shared" si="2"/>
        <v>231.14804214231535</v>
      </c>
      <c r="I100">
        <f t="shared" si="3"/>
        <v>38405.949689240304</v>
      </c>
    </row>
    <row r="101" spans="1:9">
      <c r="A101" s="1" t="s">
        <v>88</v>
      </c>
      <c r="B101" s="7">
        <v>55.325149000000003</v>
      </c>
      <c r="C101">
        <v>73.095923999999997</v>
      </c>
      <c r="D101">
        <v>54.9807129</v>
      </c>
      <c r="E101">
        <v>73.3772649</v>
      </c>
      <c r="F101" s="2">
        <v>55.016800000000003</v>
      </c>
      <c r="G101">
        <v>82.933300000000003</v>
      </c>
      <c r="H101" s="2">
        <f t="shared" si="2"/>
        <v>42265.444511752168</v>
      </c>
      <c r="I101">
        <f t="shared" si="3"/>
        <v>625157.38323601452</v>
      </c>
    </row>
    <row r="102" spans="1:9">
      <c r="A102" s="1" t="s">
        <v>89</v>
      </c>
      <c r="B102" s="7">
        <v>47.221558000000002</v>
      </c>
      <c r="C102">
        <v>39.710638000000003</v>
      </c>
      <c r="D102">
        <v>47.222551000000003</v>
      </c>
      <c r="E102">
        <v>39.719405000000002</v>
      </c>
      <c r="F102" s="2">
        <v>47.219799999999999</v>
      </c>
      <c r="G102">
        <v>39.728999999999999</v>
      </c>
      <c r="H102" s="2">
        <f t="shared" si="2"/>
        <v>671.21933836652204</v>
      </c>
      <c r="I102">
        <f t="shared" si="3"/>
        <v>1400.4264870182681</v>
      </c>
    </row>
    <row r="103" spans="1:9">
      <c r="H103" s="2">
        <f>AVERAGE(H3:H102)</f>
        <v>112602.10004260908</v>
      </c>
      <c r="I103" s="2">
        <f>AVERAGE(I3:I102)</f>
        <v>387109.62517629011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topLeftCell="A96" workbookViewId="0">
      <selection activeCell="E102" sqref="E102"/>
    </sheetView>
  </sheetViews>
  <sheetFormatPr defaultColWidth="11.19921875" defaultRowHeight="15.6"/>
  <cols>
    <col min="1" max="1" width="23.09765625" customWidth="1"/>
    <col min="2" max="2" width="50" style="2" customWidth="1"/>
    <col min="3" max="3" width="13.09765625" style="2" customWidth="1"/>
    <col min="4" max="4" width="42.3984375" style="2" customWidth="1"/>
    <col min="5" max="5" width="15.59765625" style="2" customWidth="1"/>
    <col min="6" max="6" width="41" style="2" customWidth="1"/>
    <col min="7" max="7" width="17" customWidth="1"/>
  </cols>
  <sheetData>
    <row r="1" spans="1:7" s="4" customFormat="1" ht="36">
      <c r="A1" s="5" t="s">
        <v>91</v>
      </c>
      <c r="B1" s="6" t="s">
        <v>191</v>
      </c>
      <c r="C1" s="6" t="s">
        <v>495</v>
      </c>
      <c r="D1" s="6" t="s">
        <v>294</v>
      </c>
      <c r="E1" s="6" t="s">
        <v>496</v>
      </c>
      <c r="F1" s="6" t="s">
        <v>487</v>
      </c>
      <c r="G1" s="5" t="s">
        <v>497</v>
      </c>
    </row>
    <row r="2" spans="1:7" ht="72" customHeight="1">
      <c r="A2" s="1" t="s">
        <v>92</v>
      </c>
      <c r="B2" s="2" t="s">
        <v>392</v>
      </c>
      <c r="C2" s="2">
        <v>0.5</v>
      </c>
      <c r="D2" s="2" t="s">
        <v>202</v>
      </c>
      <c r="E2" s="2">
        <v>1</v>
      </c>
      <c r="F2" s="2" t="s">
        <v>295</v>
      </c>
    </row>
    <row r="3" spans="1:7" ht="109.2">
      <c r="A3" s="1" t="s">
        <v>93</v>
      </c>
      <c r="B3" s="2" t="s">
        <v>393</v>
      </c>
      <c r="C3" s="2">
        <v>0.5</v>
      </c>
      <c r="D3" s="2" t="s">
        <v>203</v>
      </c>
      <c r="E3" s="2">
        <v>0.3</v>
      </c>
      <c r="F3" s="2" t="s">
        <v>296</v>
      </c>
    </row>
    <row r="4" spans="1:7" ht="46.8">
      <c r="A4" s="1" t="s">
        <v>94</v>
      </c>
      <c r="B4" s="2" t="s">
        <v>394</v>
      </c>
      <c r="C4" s="2">
        <v>0.5</v>
      </c>
      <c r="D4" s="2" t="s">
        <v>204</v>
      </c>
      <c r="E4" s="2">
        <v>1</v>
      </c>
      <c r="F4" s="2" t="s">
        <v>297</v>
      </c>
    </row>
    <row r="5" spans="1:7" ht="46.8">
      <c r="A5" s="1" t="s">
        <v>95</v>
      </c>
      <c r="B5" s="2" t="s">
        <v>395</v>
      </c>
      <c r="C5" s="2">
        <v>0.5</v>
      </c>
      <c r="D5" s="2" t="s">
        <v>205</v>
      </c>
      <c r="E5" s="2">
        <v>1</v>
      </c>
      <c r="F5" s="2" t="s">
        <v>298</v>
      </c>
    </row>
    <row r="6" spans="1:7" ht="62.4">
      <c r="A6" s="1" t="s">
        <v>96</v>
      </c>
      <c r="B6" s="2" t="s">
        <v>396</v>
      </c>
      <c r="C6" s="2">
        <v>0.5</v>
      </c>
      <c r="D6" s="2" t="s">
        <v>206</v>
      </c>
      <c r="E6" s="2">
        <v>1</v>
      </c>
      <c r="F6" s="2" t="s">
        <v>299</v>
      </c>
    </row>
    <row r="7" spans="1:7" ht="46.8">
      <c r="A7" s="1" t="s">
        <v>97</v>
      </c>
      <c r="B7" s="2" t="s">
        <v>397</v>
      </c>
      <c r="C7" s="2">
        <v>0.5</v>
      </c>
      <c r="D7" s="2" t="s">
        <v>207</v>
      </c>
      <c r="E7" s="2">
        <v>1</v>
      </c>
      <c r="F7" s="2" t="s">
        <v>300</v>
      </c>
    </row>
    <row r="8" spans="1:7" ht="62.4">
      <c r="A8" s="1" t="s">
        <v>98</v>
      </c>
      <c r="B8" s="2" t="s">
        <v>398</v>
      </c>
      <c r="C8" s="2">
        <v>0.5</v>
      </c>
      <c r="D8" s="2" t="s">
        <v>208</v>
      </c>
      <c r="E8" s="2">
        <v>1</v>
      </c>
      <c r="F8" s="2" t="s">
        <v>301</v>
      </c>
    </row>
    <row r="9" spans="1:7" ht="124.8">
      <c r="A9" s="1" t="s">
        <v>99</v>
      </c>
      <c r="B9" s="2" t="s">
        <v>399</v>
      </c>
      <c r="C9" s="2">
        <v>0.5</v>
      </c>
      <c r="D9" s="2" t="s">
        <v>209</v>
      </c>
      <c r="E9" s="2">
        <v>1</v>
      </c>
      <c r="F9" s="2" t="s">
        <v>302</v>
      </c>
    </row>
    <row r="10" spans="1:7" ht="46.8">
      <c r="A10" s="1" t="s">
        <v>100</v>
      </c>
      <c r="B10" s="2" t="s">
        <v>400</v>
      </c>
      <c r="C10" s="2">
        <v>0.5</v>
      </c>
      <c r="D10" s="2" t="s">
        <v>210</v>
      </c>
      <c r="E10" s="2">
        <v>1</v>
      </c>
      <c r="F10" s="2" t="s">
        <v>303</v>
      </c>
    </row>
    <row r="11" spans="1:7" ht="46.8">
      <c r="A11" s="1" t="s">
        <v>101</v>
      </c>
      <c r="B11" s="2" t="s">
        <v>401</v>
      </c>
      <c r="C11" s="2">
        <v>0.5</v>
      </c>
      <c r="D11" s="2" t="s">
        <v>211</v>
      </c>
      <c r="E11" s="2">
        <v>1</v>
      </c>
      <c r="F11" s="2" t="s">
        <v>304</v>
      </c>
    </row>
    <row r="12" spans="1:7" ht="93.6">
      <c r="A12" s="1" t="s">
        <v>102</v>
      </c>
      <c r="B12" s="2" t="s">
        <v>402</v>
      </c>
      <c r="C12" s="2">
        <v>1</v>
      </c>
      <c r="D12" s="2" t="s">
        <v>212</v>
      </c>
      <c r="E12" s="2">
        <v>1</v>
      </c>
      <c r="F12" s="2" t="s">
        <v>305</v>
      </c>
    </row>
    <row r="13" spans="1:7" ht="46.8">
      <c r="A13" s="1" t="s">
        <v>103</v>
      </c>
      <c r="B13" s="2" t="s">
        <v>403</v>
      </c>
      <c r="C13" s="2">
        <v>1</v>
      </c>
      <c r="D13" s="2" t="s">
        <v>213</v>
      </c>
      <c r="E13" s="2">
        <v>1</v>
      </c>
      <c r="F13" s="2" t="s">
        <v>306</v>
      </c>
    </row>
    <row r="14" spans="1:7" ht="62.4">
      <c r="A14" s="1" t="s">
        <v>104</v>
      </c>
      <c r="B14" s="2" t="s">
        <v>404</v>
      </c>
      <c r="C14" s="2">
        <v>1</v>
      </c>
      <c r="D14" s="2" t="s">
        <v>214</v>
      </c>
      <c r="E14" s="2">
        <v>1</v>
      </c>
      <c r="F14" s="2" t="s">
        <v>307</v>
      </c>
    </row>
    <row r="15" spans="1:7" ht="46.8">
      <c r="A15" s="1" t="s">
        <v>105</v>
      </c>
      <c r="B15" s="2" t="s">
        <v>405</v>
      </c>
      <c r="C15" s="2">
        <v>0.5</v>
      </c>
      <c r="D15" s="2" t="s">
        <v>215</v>
      </c>
      <c r="E15" s="2">
        <v>0.5</v>
      </c>
      <c r="F15" s="2" t="s">
        <v>308</v>
      </c>
    </row>
    <row r="16" spans="1:7" ht="62.4">
      <c r="A16" s="1" t="s">
        <v>106</v>
      </c>
      <c r="B16" s="2" t="s">
        <v>406</v>
      </c>
      <c r="C16" s="2">
        <v>1</v>
      </c>
      <c r="D16" s="2" t="s">
        <v>216</v>
      </c>
      <c r="E16" s="2">
        <v>1</v>
      </c>
      <c r="F16" s="2" t="s">
        <v>309</v>
      </c>
    </row>
    <row r="17" spans="1:6" ht="62.4">
      <c r="A17" s="1" t="s">
        <v>107</v>
      </c>
      <c r="B17" s="2" t="s">
        <v>407</v>
      </c>
      <c r="C17" s="2">
        <v>1</v>
      </c>
      <c r="D17" s="2" t="s">
        <v>217</v>
      </c>
      <c r="E17" s="2">
        <v>1</v>
      </c>
      <c r="F17" s="2" t="s">
        <v>310</v>
      </c>
    </row>
    <row r="18" spans="1:6" ht="109.2">
      <c r="A18" s="1" t="s">
        <v>108</v>
      </c>
      <c r="B18" s="2" t="s">
        <v>408</v>
      </c>
      <c r="C18" s="2">
        <v>1</v>
      </c>
      <c r="D18" s="2" t="s">
        <v>218</v>
      </c>
      <c r="E18" s="2">
        <v>1</v>
      </c>
      <c r="F18" s="2" t="s">
        <v>311</v>
      </c>
    </row>
    <row r="19" spans="1:6" ht="62.4">
      <c r="A19" s="1" t="s">
        <v>109</v>
      </c>
      <c r="C19" s="2">
        <v>0</v>
      </c>
      <c r="D19" s="2" t="s">
        <v>219</v>
      </c>
      <c r="E19" s="2">
        <v>0.5</v>
      </c>
      <c r="F19" s="2" t="s">
        <v>312</v>
      </c>
    </row>
    <row r="20" spans="1:6" ht="78">
      <c r="A20" s="1" t="s">
        <v>110</v>
      </c>
      <c r="B20" s="2" t="s">
        <v>409</v>
      </c>
      <c r="C20" s="2">
        <v>0.5</v>
      </c>
      <c r="D20" s="2" t="s">
        <v>220</v>
      </c>
      <c r="E20" s="2">
        <v>1</v>
      </c>
      <c r="F20" s="2" t="s">
        <v>313</v>
      </c>
    </row>
    <row r="21" spans="1:6" ht="46.8">
      <c r="A21" s="1" t="s">
        <v>111</v>
      </c>
      <c r="B21" s="2" t="s">
        <v>410</v>
      </c>
      <c r="C21" s="2">
        <v>1</v>
      </c>
      <c r="D21" s="2" t="s">
        <v>221</v>
      </c>
      <c r="E21" s="2">
        <v>1</v>
      </c>
      <c r="F21" s="2" t="s">
        <v>314</v>
      </c>
    </row>
    <row r="22" spans="1:6" ht="78">
      <c r="A22" s="1" t="s">
        <v>112</v>
      </c>
      <c r="B22" s="2" t="s">
        <v>411</v>
      </c>
      <c r="C22" s="2">
        <v>1</v>
      </c>
      <c r="D22" s="2" t="s">
        <v>222</v>
      </c>
      <c r="E22" s="2">
        <v>1</v>
      </c>
      <c r="F22" s="2" t="s">
        <v>315</v>
      </c>
    </row>
    <row r="23" spans="1:6" ht="46.8">
      <c r="A23" s="1" t="s">
        <v>113</v>
      </c>
      <c r="B23" s="2" t="s">
        <v>412</v>
      </c>
      <c r="C23" s="2">
        <v>1</v>
      </c>
      <c r="D23" s="2" t="s">
        <v>223</v>
      </c>
      <c r="E23" s="2">
        <v>1</v>
      </c>
      <c r="F23" s="2" t="s">
        <v>316</v>
      </c>
    </row>
    <row r="24" spans="1:6" ht="62.4">
      <c r="A24" s="1" t="s">
        <v>114</v>
      </c>
      <c r="B24" s="2" t="s">
        <v>413</v>
      </c>
      <c r="C24" s="2">
        <v>1</v>
      </c>
      <c r="D24" s="2" t="s">
        <v>224</v>
      </c>
      <c r="E24" s="2">
        <v>1</v>
      </c>
      <c r="F24" s="2" t="s">
        <v>299</v>
      </c>
    </row>
    <row r="25" spans="1:6" ht="46.8">
      <c r="A25" s="1" t="s">
        <v>115</v>
      </c>
      <c r="B25" s="2" t="s">
        <v>414</v>
      </c>
      <c r="C25" s="2">
        <v>0.3</v>
      </c>
      <c r="D25" s="2" t="s">
        <v>225</v>
      </c>
      <c r="F25" s="2" t="s">
        <v>317</v>
      </c>
    </row>
    <row r="26" spans="1:6" ht="78">
      <c r="A26" s="1" t="s">
        <v>116</v>
      </c>
      <c r="B26" s="2" t="s">
        <v>415</v>
      </c>
      <c r="C26" s="2">
        <v>1</v>
      </c>
      <c r="D26" s="2" t="s">
        <v>226</v>
      </c>
      <c r="E26" s="2">
        <v>1</v>
      </c>
      <c r="F26" s="2" t="s">
        <v>318</v>
      </c>
    </row>
    <row r="27" spans="1:6" ht="62.4">
      <c r="A27" s="1" t="s">
        <v>117</v>
      </c>
      <c r="B27" s="2" t="s">
        <v>416</v>
      </c>
      <c r="C27" s="2">
        <v>1</v>
      </c>
      <c r="D27" s="2" t="s">
        <v>227</v>
      </c>
      <c r="E27" s="2">
        <v>1</v>
      </c>
      <c r="F27" s="2" t="s">
        <v>319</v>
      </c>
    </row>
    <row r="28" spans="1:6" ht="46.8">
      <c r="A28" s="1" t="s">
        <v>118</v>
      </c>
      <c r="B28" s="2" t="s">
        <v>417</v>
      </c>
      <c r="D28" s="2" t="s">
        <v>228</v>
      </c>
      <c r="E28" s="2">
        <v>1</v>
      </c>
      <c r="F28" s="2" t="s">
        <v>320</v>
      </c>
    </row>
    <row r="29" spans="1:6" ht="46.8">
      <c r="A29" s="1" t="s">
        <v>119</v>
      </c>
      <c r="B29" s="2" t="s">
        <v>418</v>
      </c>
      <c r="C29" s="2">
        <v>1</v>
      </c>
      <c r="D29" s="2" t="s">
        <v>229</v>
      </c>
      <c r="E29" s="2">
        <v>1</v>
      </c>
      <c r="F29" s="2" t="s">
        <v>321</v>
      </c>
    </row>
    <row r="30" spans="1:6" ht="78">
      <c r="A30" s="1" t="s">
        <v>120</v>
      </c>
      <c r="B30" s="2" t="s">
        <v>419</v>
      </c>
      <c r="C30" s="2">
        <v>1</v>
      </c>
      <c r="D30" s="2" t="s">
        <v>230</v>
      </c>
      <c r="E30" s="2">
        <v>0.5</v>
      </c>
      <c r="F30" s="2" t="s">
        <v>322</v>
      </c>
    </row>
    <row r="31" spans="1:6" ht="46.8">
      <c r="A31" s="1" t="s">
        <v>121</v>
      </c>
      <c r="B31" s="2" t="s">
        <v>420</v>
      </c>
      <c r="C31" s="2">
        <v>1</v>
      </c>
      <c r="D31" s="2" t="s">
        <v>231</v>
      </c>
      <c r="E31" s="2">
        <v>1</v>
      </c>
      <c r="F31" s="2" t="s">
        <v>323</v>
      </c>
    </row>
    <row r="32" spans="1:6" ht="46.8">
      <c r="A32" s="1" t="s">
        <v>122</v>
      </c>
      <c r="B32" s="2" t="s">
        <v>421</v>
      </c>
      <c r="C32" s="2">
        <v>1</v>
      </c>
      <c r="D32" s="2" t="s">
        <v>232</v>
      </c>
      <c r="E32" s="2">
        <v>1</v>
      </c>
      <c r="F32" s="2" t="s">
        <v>324</v>
      </c>
    </row>
    <row r="33" spans="1:6" ht="46.8">
      <c r="A33" s="1" t="s">
        <v>123</v>
      </c>
      <c r="B33" s="2" t="s">
        <v>422</v>
      </c>
      <c r="C33" s="2">
        <v>1</v>
      </c>
      <c r="D33" s="2" t="s">
        <v>233</v>
      </c>
      <c r="E33" s="2">
        <v>1</v>
      </c>
      <c r="F33" s="2" t="s">
        <v>325</v>
      </c>
    </row>
    <row r="34" spans="1:6" ht="46.8">
      <c r="A34" s="1" t="s">
        <v>124</v>
      </c>
      <c r="B34" s="2" t="s">
        <v>423</v>
      </c>
      <c r="C34" s="2">
        <v>1</v>
      </c>
      <c r="D34" s="2" t="s">
        <v>234</v>
      </c>
      <c r="E34" s="2">
        <v>0.5</v>
      </c>
      <c r="F34" s="2" t="s">
        <v>326</v>
      </c>
    </row>
    <row r="35" spans="1:6" ht="46.8">
      <c r="A35" s="1" t="s">
        <v>125</v>
      </c>
      <c r="B35" s="2" t="s">
        <v>424</v>
      </c>
      <c r="C35" s="2">
        <v>1</v>
      </c>
      <c r="D35" s="2" t="s">
        <v>235</v>
      </c>
      <c r="E35" s="2">
        <v>1</v>
      </c>
      <c r="F35" s="2" t="s">
        <v>327</v>
      </c>
    </row>
    <row r="36" spans="1:6" ht="124.8">
      <c r="A36" s="1" t="s">
        <v>126</v>
      </c>
      <c r="B36" s="2" t="s">
        <v>425</v>
      </c>
      <c r="C36" s="2">
        <v>1</v>
      </c>
      <c r="D36" s="2" t="s">
        <v>236</v>
      </c>
      <c r="E36" s="2">
        <v>1</v>
      </c>
      <c r="F36" s="2" t="s">
        <v>328</v>
      </c>
    </row>
    <row r="37" spans="1:6" ht="46.8">
      <c r="A37" s="1" t="s">
        <v>127</v>
      </c>
      <c r="B37" s="2" t="s">
        <v>426</v>
      </c>
      <c r="C37" s="2">
        <v>1</v>
      </c>
      <c r="D37" s="2" t="s">
        <v>237</v>
      </c>
      <c r="E37" s="2">
        <v>1</v>
      </c>
      <c r="F37" s="2" t="s">
        <v>329</v>
      </c>
    </row>
    <row r="38" spans="1:6" ht="46.8">
      <c r="A38" s="1" t="s">
        <v>128</v>
      </c>
      <c r="B38" s="2" t="s">
        <v>427</v>
      </c>
      <c r="C38" s="2">
        <v>1</v>
      </c>
      <c r="D38" s="2" t="s">
        <v>238</v>
      </c>
      <c r="E38" s="2">
        <v>1</v>
      </c>
      <c r="F38" s="2" t="s">
        <v>330</v>
      </c>
    </row>
    <row r="39" spans="1:6" ht="109.2">
      <c r="A39" s="1" t="s">
        <v>129</v>
      </c>
      <c r="B39" s="2" t="s">
        <v>428</v>
      </c>
      <c r="C39" s="2">
        <v>1</v>
      </c>
      <c r="D39" s="2" t="s">
        <v>239</v>
      </c>
      <c r="E39" s="2">
        <v>1</v>
      </c>
      <c r="F39" s="2" t="s">
        <v>331</v>
      </c>
    </row>
    <row r="40" spans="1:6" ht="62.4">
      <c r="A40" s="1" t="s">
        <v>130</v>
      </c>
      <c r="B40" s="2" t="s">
        <v>429</v>
      </c>
      <c r="C40" s="2">
        <v>1</v>
      </c>
      <c r="D40" s="2" t="s">
        <v>240</v>
      </c>
      <c r="E40" s="2">
        <v>1</v>
      </c>
      <c r="F40" s="2" t="s">
        <v>332</v>
      </c>
    </row>
    <row r="41" spans="1:6" ht="78">
      <c r="A41" s="1" t="s">
        <v>131</v>
      </c>
      <c r="B41" s="2" t="s">
        <v>430</v>
      </c>
      <c r="C41" s="2">
        <v>1</v>
      </c>
      <c r="D41" s="2" t="s">
        <v>241</v>
      </c>
      <c r="E41" s="2">
        <v>0.3</v>
      </c>
      <c r="F41" s="2" t="s">
        <v>333</v>
      </c>
    </row>
    <row r="42" spans="1:6" ht="46.8">
      <c r="A42" s="1" t="s">
        <v>132</v>
      </c>
      <c r="B42" s="2" t="s">
        <v>431</v>
      </c>
      <c r="C42" s="2">
        <v>0.5</v>
      </c>
      <c r="D42" s="2" t="s">
        <v>225</v>
      </c>
      <c r="E42" s="2">
        <v>0.5</v>
      </c>
      <c r="F42" s="2" t="s">
        <v>334</v>
      </c>
    </row>
    <row r="43" spans="1:6" ht="124.8">
      <c r="A43" s="1" t="s">
        <v>133</v>
      </c>
      <c r="B43" s="2" t="s">
        <v>432</v>
      </c>
      <c r="C43" s="2">
        <v>1</v>
      </c>
      <c r="D43" s="2" t="s">
        <v>242</v>
      </c>
      <c r="E43" s="2">
        <v>1</v>
      </c>
      <c r="F43" s="2" t="s">
        <v>335</v>
      </c>
    </row>
    <row r="44" spans="1:6" ht="109.2">
      <c r="A44" s="1" t="s">
        <v>134</v>
      </c>
      <c r="B44" s="2" t="s">
        <v>433</v>
      </c>
      <c r="C44" s="2">
        <v>1</v>
      </c>
      <c r="D44" s="2" t="s">
        <v>243</v>
      </c>
      <c r="E44" s="2">
        <v>1</v>
      </c>
      <c r="F44" s="2" t="s">
        <v>336</v>
      </c>
    </row>
    <row r="45" spans="1:6" ht="46.8">
      <c r="A45" s="1" t="s">
        <v>135</v>
      </c>
      <c r="B45" s="2" t="s">
        <v>434</v>
      </c>
      <c r="C45" s="2">
        <v>1</v>
      </c>
      <c r="D45" s="2" t="s">
        <v>244</v>
      </c>
      <c r="E45" s="2">
        <v>1</v>
      </c>
      <c r="F45" s="2" t="s">
        <v>337</v>
      </c>
    </row>
    <row r="46" spans="1:6" ht="62.4">
      <c r="A46" s="1" t="s">
        <v>136</v>
      </c>
      <c r="B46" s="2" t="s">
        <v>435</v>
      </c>
      <c r="C46" s="2">
        <v>1</v>
      </c>
      <c r="D46" s="2" t="s">
        <v>245</v>
      </c>
      <c r="E46" s="2">
        <v>0.3</v>
      </c>
      <c r="F46" s="2" t="s">
        <v>338</v>
      </c>
    </row>
    <row r="47" spans="1:6" ht="62.4">
      <c r="A47" s="1" t="s">
        <v>137</v>
      </c>
      <c r="B47" s="2" t="s">
        <v>436</v>
      </c>
      <c r="C47" s="2">
        <v>1</v>
      </c>
      <c r="D47" s="2" t="s">
        <v>246</v>
      </c>
      <c r="E47" s="2">
        <v>1</v>
      </c>
      <c r="F47" s="2" t="s">
        <v>299</v>
      </c>
    </row>
    <row r="48" spans="1:6" ht="46.8">
      <c r="A48" s="1" t="s">
        <v>138</v>
      </c>
      <c r="B48" s="2" t="s">
        <v>437</v>
      </c>
      <c r="D48" s="2" t="s">
        <v>247</v>
      </c>
      <c r="E48" s="2">
        <v>1</v>
      </c>
      <c r="F48" s="2" t="s">
        <v>339</v>
      </c>
    </row>
    <row r="49" spans="1:6" ht="109.2">
      <c r="A49" s="1" t="s">
        <v>139</v>
      </c>
      <c r="B49" s="2" t="s">
        <v>438</v>
      </c>
      <c r="C49" s="2">
        <v>1</v>
      </c>
      <c r="D49" s="2" t="s">
        <v>248</v>
      </c>
      <c r="E49" s="2">
        <v>1</v>
      </c>
      <c r="F49" s="2" t="s">
        <v>340</v>
      </c>
    </row>
    <row r="50" spans="1:6" ht="46.8">
      <c r="A50" s="1" t="s">
        <v>140</v>
      </c>
      <c r="B50" s="2" t="s">
        <v>439</v>
      </c>
      <c r="C50" s="2">
        <v>0.5</v>
      </c>
      <c r="D50" s="2" t="s">
        <v>249</v>
      </c>
      <c r="E50" s="2">
        <v>1</v>
      </c>
      <c r="F50" s="2" t="s">
        <v>341</v>
      </c>
    </row>
    <row r="51" spans="1:6" ht="109.2">
      <c r="A51" s="1" t="s">
        <v>141</v>
      </c>
      <c r="B51" s="2" t="s">
        <v>440</v>
      </c>
      <c r="C51" s="2">
        <v>0.3</v>
      </c>
      <c r="D51" s="3" t="s">
        <v>250</v>
      </c>
      <c r="E51" s="2">
        <v>1</v>
      </c>
      <c r="F51" s="2" t="s">
        <v>342</v>
      </c>
    </row>
    <row r="52" spans="1:6" ht="46.8">
      <c r="A52" s="1" t="s">
        <v>142</v>
      </c>
      <c r="B52" s="2" t="s">
        <v>441</v>
      </c>
      <c r="C52" s="2">
        <v>1</v>
      </c>
      <c r="D52" s="2" t="s">
        <v>251</v>
      </c>
      <c r="E52" s="2">
        <v>1</v>
      </c>
      <c r="F52" s="2" t="s">
        <v>343</v>
      </c>
    </row>
    <row r="53" spans="1:6" ht="46.8">
      <c r="A53" s="1" t="s">
        <v>143</v>
      </c>
      <c r="C53" s="2">
        <v>0</v>
      </c>
      <c r="D53" s="2" t="s">
        <v>251</v>
      </c>
      <c r="E53" s="2">
        <v>1</v>
      </c>
      <c r="F53" s="2" t="s">
        <v>344</v>
      </c>
    </row>
    <row r="54" spans="1:6" ht="78">
      <c r="A54" s="1" t="s">
        <v>144</v>
      </c>
      <c r="C54" s="2">
        <v>0</v>
      </c>
      <c r="E54" s="2">
        <v>0</v>
      </c>
      <c r="F54" s="2" t="s">
        <v>345</v>
      </c>
    </row>
    <row r="55" spans="1:6" ht="62.4">
      <c r="A55" s="1" t="s">
        <v>145</v>
      </c>
      <c r="B55" s="2" t="s">
        <v>442</v>
      </c>
      <c r="C55" s="2">
        <v>1</v>
      </c>
      <c r="D55" s="2" t="s">
        <v>252</v>
      </c>
      <c r="E55" s="2">
        <v>1</v>
      </c>
      <c r="F55" s="2" t="s">
        <v>346</v>
      </c>
    </row>
    <row r="56" spans="1:6" ht="140.4">
      <c r="A56" s="1" t="s">
        <v>146</v>
      </c>
      <c r="B56" s="2" t="s">
        <v>443</v>
      </c>
      <c r="C56" s="2">
        <v>1</v>
      </c>
      <c r="D56" s="2" t="s">
        <v>253</v>
      </c>
      <c r="E56" s="2">
        <v>0.5</v>
      </c>
      <c r="F56" s="2" t="s">
        <v>347</v>
      </c>
    </row>
    <row r="57" spans="1:6" ht="62.4">
      <c r="A57" s="1" t="s">
        <v>147</v>
      </c>
      <c r="B57" s="2" t="s">
        <v>444</v>
      </c>
      <c r="C57" s="2">
        <v>1</v>
      </c>
      <c r="D57" s="2" t="s">
        <v>241</v>
      </c>
      <c r="E57" s="2">
        <v>0.5</v>
      </c>
      <c r="F57" s="2" t="s">
        <v>348</v>
      </c>
    </row>
    <row r="58" spans="1:6" ht="46.8">
      <c r="A58" s="1" t="s">
        <v>148</v>
      </c>
      <c r="B58" s="2" t="s">
        <v>445</v>
      </c>
      <c r="C58" s="2">
        <v>1</v>
      </c>
      <c r="D58" s="2" t="s">
        <v>254</v>
      </c>
      <c r="E58" s="2">
        <v>1</v>
      </c>
      <c r="F58" s="2" t="s">
        <v>349</v>
      </c>
    </row>
    <row r="59" spans="1:6" ht="46.8">
      <c r="A59" s="1" t="s">
        <v>149</v>
      </c>
      <c r="B59" s="2" t="s">
        <v>446</v>
      </c>
      <c r="C59" s="2">
        <v>0.5</v>
      </c>
      <c r="D59" s="2" t="s">
        <v>255</v>
      </c>
      <c r="E59" s="2">
        <v>0.5</v>
      </c>
      <c r="F59" s="2" t="s">
        <v>350</v>
      </c>
    </row>
    <row r="60" spans="1:6" ht="46.8">
      <c r="A60" s="1" t="s">
        <v>150</v>
      </c>
      <c r="B60" s="2" t="s">
        <v>447</v>
      </c>
      <c r="C60" s="2">
        <v>1</v>
      </c>
      <c r="D60" s="2" t="s">
        <v>256</v>
      </c>
      <c r="E60" s="2">
        <v>0.3</v>
      </c>
      <c r="F60" s="2" t="s">
        <v>351</v>
      </c>
    </row>
    <row r="61" spans="1:6" ht="78">
      <c r="A61" s="1" t="s">
        <v>151</v>
      </c>
      <c r="B61" s="2" t="s">
        <v>448</v>
      </c>
      <c r="C61" s="2">
        <v>1</v>
      </c>
      <c r="D61" s="2" t="s">
        <v>257</v>
      </c>
      <c r="E61" s="2">
        <v>1</v>
      </c>
      <c r="F61" s="2" t="s">
        <v>352</v>
      </c>
    </row>
    <row r="62" spans="1:6" ht="62.4">
      <c r="A62" s="1" t="s">
        <v>152</v>
      </c>
      <c r="B62" s="2" t="s">
        <v>449</v>
      </c>
      <c r="C62" s="2">
        <v>1</v>
      </c>
      <c r="D62" s="2" t="s">
        <v>258</v>
      </c>
      <c r="E62" s="2">
        <v>1</v>
      </c>
      <c r="F62" s="2" t="s">
        <v>353</v>
      </c>
    </row>
    <row r="63" spans="1:6" ht="109.2">
      <c r="A63" s="1" t="s">
        <v>153</v>
      </c>
      <c r="B63" s="2" t="s">
        <v>450</v>
      </c>
      <c r="C63" s="2">
        <v>1</v>
      </c>
      <c r="D63" s="2" t="s">
        <v>259</v>
      </c>
      <c r="E63" s="2">
        <v>0.5</v>
      </c>
      <c r="F63" s="2" t="s">
        <v>354</v>
      </c>
    </row>
    <row r="64" spans="1:6" ht="46.8">
      <c r="A64" s="1" t="s">
        <v>154</v>
      </c>
      <c r="B64" s="2" t="s">
        <v>451</v>
      </c>
      <c r="D64" s="2" t="s">
        <v>260</v>
      </c>
      <c r="E64" s="2">
        <v>1</v>
      </c>
      <c r="F64" s="2" t="s">
        <v>355</v>
      </c>
    </row>
    <row r="65" spans="1:6" ht="62.4">
      <c r="A65" s="1" t="s">
        <v>155</v>
      </c>
      <c r="B65" s="2" t="s">
        <v>452</v>
      </c>
      <c r="C65" s="2">
        <v>1</v>
      </c>
      <c r="D65" s="2" t="s">
        <v>261</v>
      </c>
      <c r="E65" s="2">
        <v>0.5</v>
      </c>
      <c r="F65" s="2" t="s">
        <v>356</v>
      </c>
    </row>
    <row r="66" spans="1:6" ht="78">
      <c r="A66" s="1" t="s">
        <v>156</v>
      </c>
      <c r="B66" s="2" t="s">
        <v>453</v>
      </c>
      <c r="C66" s="2">
        <v>1</v>
      </c>
      <c r="D66" s="2" t="s">
        <v>262</v>
      </c>
      <c r="E66" s="2">
        <v>1</v>
      </c>
      <c r="F66" s="2" t="s">
        <v>357</v>
      </c>
    </row>
    <row r="67" spans="1:6" ht="93.6">
      <c r="A67" s="1" t="s">
        <v>157</v>
      </c>
      <c r="B67" s="2" t="s">
        <v>454</v>
      </c>
      <c r="C67" s="2">
        <v>1</v>
      </c>
      <c r="D67" s="2" t="s">
        <v>263</v>
      </c>
      <c r="F67" s="2" t="s">
        <v>358</v>
      </c>
    </row>
    <row r="68" spans="1:6" ht="46.8">
      <c r="A68" s="1" t="s">
        <v>158</v>
      </c>
      <c r="B68" s="2" t="s">
        <v>455</v>
      </c>
      <c r="C68" s="2">
        <v>1</v>
      </c>
      <c r="D68" s="2" t="s">
        <v>264</v>
      </c>
      <c r="E68" s="2">
        <v>1</v>
      </c>
      <c r="F68" s="2" t="s">
        <v>359</v>
      </c>
    </row>
    <row r="69" spans="1:6" ht="46.8">
      <c r="A69" s="1" t="s">
        <v>95</v>
      </c>
      <c r="B69" s="2" t="s">
        <v>456</v>
      </c>
      <c r="C69" s="2">
        <v>1</v>
      </c>
      <c r="D69" s="2" t="s">
        <v>265</v>
      </c>
      <c r="E69" s="2">
        <v>1</v>
      </c>
      <c r="F69" s="2" t="s">
        <v>360</v>
      </c>
    </row>
    <row r="70" spans="1:6" ht="62.4">
      <c r="A70" s="1" t="s">
        <v>159</v>
      </c>
      <c r="B70" s="2" t="s">
        <v>457</v>
      </c>
      <c r="C70" s="2">
        <v>1</v>
      </c>
      <c r="D70" s="2" t="s">
        <v>266</v>
      </c>
      <c r="E70" s="2">
        <v>1</v>
      </c>
      <c r="F70" s="2" t="s">
        <v>361</v>
      </c>
    </row>
    <row r="71" spans="1:6" ht="46.8">
      <c r="A71" s="1" t="s">
        <v>160</v>
      </c>
      <c r="B71" s="2" t="s">
        <v>458</v>
      </c>
      <c r="C71" s="2">
        <v>1</v>
      </c>
      <c r="D71" s="2" t="s">
        <v>267</v>
      </c>
      <c r="E71" s="2">
        <v>1</v>
      </c>
      <c r="F71" s="2" t="s">
        <v>362</v>
      </c>
    </row>
    <row r="72" spans="1:6" ht="46.8">
      <c r="A72" s="1" t="s">
        <v>161</v>
      </c>
      <c r="C72" s="2">
        <v>0</v>
      </c>
      <c r="E72" s="2">
        <v>0</v>
      </c>
      <c r="F72" s="2" t="s">
        <v>363</v>
      </c>
    </row>
    <row r="73" spans="1:6" ht="46.8">
      <c r="A73" s="1" t="s">
        <v>162</v>
      </c>
      <c r="C73" s="2">
        <v>0</v>
      </c>
      <c r="E73" s="2">
        <v>0</v>
      </c>
      <c r="F73" s="2" t="s">
        <v>364</v>
      </c>
    </row>
    <row r="74" spans="1:6" ht="124.8">
      <c r="A74" s="1" t="s">
        <v>163</v>
      </c>
      <c r="B74" s="2" t="s">
        <v>459</v>
      </c>
      <c r="C74" s="2">
        <v>0.5</v>
      </c>
      <c r="D74" s="2" t="s">
        <v>268</v>
      </c>
      <c r="E74" s="2">
        <v>1</v>
      </c>
      <c r="F74" s="2" t="s">
        <v>365</v>
      </c>
    </row>
    <row r="75" spans="1:6" ht="109.2">
      <c r="A75" s="1" t="s">
        <v>164</v>
      </c>
      <c r="B75" s="2" t="s">
        <v>460</v>
      </c>
      <c r="C75" s="2">
        <v>1</v>
      </c>
      <c r="D75" s="2" t="s">
        <v>269</v>
      </c>
      <c r="E75" s="2">
        <v>1</v>
      </c>
      <c r="F75" s="2" t="s">
        <v>366</v>
      </c>
    </row>
    <row r="76" spans="1:6" ht="93.6">
      <c r="A76" s="1" t="s">
        <v>165</v>
      </c>
      <c r="B76" s="2" t="s">
        <v>461</v>
      </c>
      <c r="C76" s="2">
        <v>0.5</v>
      </c>
      <c r="D76" s="2" t="s">
        <v>270</v>
      </c>
      <c r="E76" s="2">
        <v>1</v>
      </c>
      <c r="F76" s="2" t="s">
        <v>367</v>
      </c>
    </row>
    <row r="77" spans="1:6" ht="46.8">
      <c r="A77" s="1" t="s">
        <v>166</v>
      </c>
      <c r="B77" s="2" t="s">
        <v>462</v>
      </c>
      <c r="C77" s="2">
        <v>1</v>
      </c>
      <c r="D77" s="2" t="s">
        <v>271</v>
      </c>
      <c r="F77" s="2" t="s">
        <v>368</v>
      </c>
    </row>
    <row r="78" spans="1:6" ht="109.2">
      <c r="A78" s="1" t="s">
        <v>167</v>
      </c>
      <c r="B78" s="2" t="s">
        <v>463</v>
      </c>
      <c r="C78" s="2">
        <v>1</v>
      </c>
      <c r="D78" s="2" t="s">
        <v>272</v>
      </c>
      <c r="E78" s="2">
        <v>1</v>
      </c>
      <c r="F78" s="2" t="s">
        <v>369</v>
      </c>
    </row>
    <row r="79" spans="1:6" ht="46.8">
      <c r="A79" s="1" t="s">
        <v>168</v>
      </c>
      <c r="B79" s="2" t="s">
        <v>464</v>
      </c>
      <c r="C79" s="2">
        <v>1</v>
      </c>
      <c r="D79" s="2" t="s">
        <v>273</v>
      </c>
      <c r="E79" s="2">
        <v>1</v>
      </c>
      <c r="F79" s="2" t="s">
        <v>370</v>
      </c>
    </row>
    <row r="80" spans="1:6" ht="46.8">
      <c r="A80" s="1" t="s">
        <v>169</v>
      </c>
      <c r="B80" s="2" t="s">
        <v>465</v>
      </c>
      <c r="C80" s="2">
        <v>1</v>
      </c>
      <c r="D80" s="2" t="s">
        <v>274</v>
      </c>
      <c r="E80" s="2">
        <v>1</v>
      </c>
      <c r="F80" s="2" t="s">
        <v>371</v>
      </c>
    </row>
    <row r="81" spans="1:6" ht="62.4">
      <c r="A81" s="1" t="s">
        <v>170</v>
      </c>
      <c r="B81" s="2" t="s">
        <v>466</v>
      </c>
      <c r="C81" s="2">
        <v>1</v>
      </c>
      <c r="D81" s="2" t="s">
        <v>275</v>
      </c>
      <c r="E81" s="2">
        <v>1</v>
      </c>
      <c r="F81" s="2" t="s">
        <v>372</v>
      </c>
    </row>
    <row r="82" spans="1:6" ht="93.6">
      <c r="A82" s="1" t="s">
        <v>171</v>
      </c>
      <c r="B82" s="2" t="s">
        <v>467</v>
      </c>
      <c r="C82" s="2">
        <v>1</v>
      </c>
      <c r="D82" s="2" t="s">
        <v>276</v>
      </c>
      <c r="E82" s="2">
        <v>1</v>
      </c>
      <c r="F82" s="2" t="s">
        <v>373</v>
      </c>
    </row>
    <row r="83" spans="1:6" ht="109.2">
      <c r="A83" s="1" t="s">
        <v>172</v>
      </c>
      <c r="B83" s="2" t="s">
        <v>468</v>
      </c>
      <c r="C83" s="2">
        <v>1</v>
      </c>
      <c r="D83" s="2" t="s">
        <v>277</v>
      </c>
      <c r="E83" s="2">
        <v>1</v>
      </c>
      <c r="F83" s="2" t="s">
        <v>374</v>
      </c>
    </row>
    <row r="84" spans="1:6" ht="46.8">
      <c r="A84" s="1" t="s">
        <v>173</v>
      </c>
      <c r="B84" s="2" t="s">
        <v>469</v>
      </c>
      <c r="C84" s="2">
        <v>1</v>
      </c>
      <c r="D84" s="2" t="s">
        <v>278</v>
      </c>
      <c r="E84" s="2">
        <v>1</v>
      </c>
      <c r="F84" s="2" t="s">
        <v>375</v>
      </c>
    </row>
    <row r="85" spans="1:6" ht="78">
      <c r="A85" s="1" t="s">
        <v>174</v>
      </c>
      <c r="B85" s="2" t="s">
        <v>470</v>
      </c>
      <c r="C85" s="2">
        <v>1</v>
      </c>
      <c r="D85" s="2" t="s">
        <v>279</v>
      </c>
      <c r="E85" s="2">
        <v>1</v>
      </c>
      <c r="F85" s="2" t="s">
        <v>376</v>
      </c>
    </row>
    <row r="86" spans="1:6" ht="78">
      <c r="A86" s="1" t="s">
        <v>175</v>
      </c>
      <c r="B86" s="2" t="s">
        <v>471</v>
      </c>
      <c r="C86" s="2">
        <v>1</v>
      </c>
      <c r="D86" s="2" t="s">
        <v>280</v>
      </c>
      <c r="E86" s="2">
        <v>1</v>
      </c>
      <c r="F86" s="2" t="s">
        <v>377</v>
      </c>
    </row>
    <row r="87" spans="1:6" ht="46.8">
      <c r="A87" s="1" t="s">
        <v>176</v>
      </c>
      <c r="B87" s="2" t="s">
        <v>472</v>
      </c>
      <c r="D87" s="2" t="s">
        <v>281</v>
      </c>
      <c r="E87" s="2">
        <v>1</v>
      </c>
      <c r="F87" s="2" t="s">
        <v>378</v>
      </c>
    </row>
    <row r="88" spans="1:6" ht="46.8">
      <c r="A88" s="1" t="s">
        <v>177</v>
      </c>
      <c r="B88" s="2" t="s">
        <v>473</v>
      </c>
      <c r="C88" s="2">
        <v>1</v>
      </c>
      <c r="D88" s="2" t="s">
        <v>282</v>
      </c>
      <c r="E88" s="2">
        <v>1</v>
      </c>
      <c r="F88" s="2" t="s">
        <v>370</v>
      </c>
    </row>
    <row r="89" spans="1:6" ht="46.8">
      <c r="A89" s="1" t="s">
        <v>178</v>
      </c>
      <c r="B89" s="2" t="s">
        <v>474</v>
      </c>
      <c r="C89" s="2">
        <v>1</v>
      </c>
      <c r="D89" s="2" t="s">
        <v>283</v>
      </c>
      <c r="E89" s="2">
        <v>1</v>
      </c>
      <c r="F89" s="2" t="s">
        <v>379</v>
      </c>
    </row>
    <row r="90" spans="1:6" ht="78">
      <c r="A90" s="1" t="s">
        <v>179</v>
      </c>
      <c r="B90" s="2" t="s">
        <v>475</v>
      </c>
      <c r="C90" s="2">
        <v>1</v>
      </c>
      <c r="D90" s="2" t="s">
        <v>284</v>
      </c>
      <c r="E90" s="2">
        <v>1</v>
      </c>
      <c r="F90" s="2" t="s">
        <v>380</v>
      </c>
    </row>
    <row r="91" spans="1:6" ht="46.8">
      <c r="A91" s="1" t="s">
        <v>180</v>
      </c>
      <c r="B91" s="2" t="s">
        <v>476</v>
      </c>
      <c r="C91" s="2">
        <v>1</v>
      </c>
      <c r="D91" s="2" t="s">
        <v>285</v>
      </c>
      <c r="E91" s="2">
        <v>1</v>
      </c>
      <c r="F91" s="2" t="s">
        <v>381</v>
      </c>
    </row>
    <row r="92" spans="1:6" ht="46.8">
      <c r="A92" s="1" t="s">
        <v>181</v>
      </c>
      <c r="B92" s="2" t="s">
        <v>477</v>
      </c>
      <c r="C92" s="2">
        <v>0.5</v>
      </c>
      <c r="D92" s="2" t="s">
        <v>286</v>
      </c>
      <c r="E92" s="2">
        <v>0.5</v>
      </c>
      <c r="F92" s="2" t="s">
        <v>382</v>
      </c>
    </row>
    <row r="93" spans="1:6" ht="124.8">
      <c r="A93" s="1" t="s">
        <v>182</v>
      </c>
      <c r="B93" s="2" t="s">
        <v>478</v>
      </c>
      <c r="C93" s="2">
        <v>1</v>
      </c>
      <c r="D93" s="2" t="s">
        <v>287</v>
      </c>
      <c r="E93" s="2">
        <v>1</v>
      </c>
      <c r="F93" s="2" t="s">
        <v>383</v>
      </c>
    </row>
    <row r="94" spans="1:6" ht="46.8">
      <c r="A94" s="1" t="s">
        <v>183</v>
      </c>
      <c r="B94" s="2" t="s">
        <v>479</v>
      </c>
      <c r="C94" s="2">
        <v>1</v>
      </c>
      <c r="D94" s="2" t="s">
        <v>288</v>
      </c>
      <c r="E94" s="2">
        <v>0.5</v>
      </c>
      <c r="F94" s="2" t="s">
        <v>384</v>
      </c>
    </row>
    <row r="95" spans="1:6" ht="78">
      <c r="A95" s="1" t="s">
        <v>184</v>
      </c>
      <c r="B95" s="2" t="s">
        <v>480</v>
      </c>
      <c r="C95" s="2">
        <v>0.5</v>
      </c>
      <c r="D95" s="2" t="s">
        <v>289</v>
      </c>
      <c r="E95" s="2">
        <v>1</v>
      </c>
      <c r="F95" s="2" t="s">
        <v>385</v>
      </c>
    </row>
    <row r="96" spans="1:6" ht="46.8">
      <c r="A96" s="1" t="s">
        <v>185</v>
      </c>
      <c r="B96" s="2" t="s">
        <v>481</v>
      </c>
      <c r="C96" s="2">
        <v>1</v>
      </c>
      <c r="E96" s="2">
        <v>0</v>
      </c>
      <c r="F96" s="2" t="s">
        <v>386</v>
      </c>
    </row>
    <row r="97" spans="1:6" ht="109.2">
      <c r="A97" s="1" t="s">
        <v>186</v>
      </c>
      <c r="B97" s="2" t="s">
        <v>482</v>
      </c>
      <c r="C97" s="2">
        <v>1</v>
      </c>
      <c r="E97" s="2">
        <v>0</v>
      </c>
      <c r="F97" s="2" t="s">
        <v>387</v>
      </c>
    </row>
    <row r="98" spans="1:6" ht="46.8">
      <c r="A98" s="1" t="s">
        <v>187</v>
      </c>
      <c r="B98" s="2" t="s">
        <v>483</v>
      </c>
      <c r="C98" s="2">
        <v>1</v>
      </c>
      <c r="D98" s="2" t="s">
        <v>290</v>
      </c>
      <c r="E98" s="2">
        <v>1</v>
      </c>
      <c r="F98" s="2" t="s">
        <v>388</v>
      </c>
    </row>
    <row r="99" spans="1:6" ht="46.8">
      <c r="A99" s="1" t="s">
        <v>188</v>
      </c>
      <c r="B99" s="2" t="s">
        <v>484</v>
      </c>
      <c r="C99" s="2">
        <v>1</v>
      </c>
      <c r="D99" s="2" t="s">
        <v>291</v>
      </c>
      <c r="E99" s="2">
        <v>0.5</v>
      </c>
      <c r="F99" s="2" t="s">
        <v>389</v>
      </c>
    </row>
    <row r="100" spans="1:6" ht="46.8">
      <c r="A100" s="1" t="s">
        <v>189</v>
      </c>
      <c r="B100" s="2" t="s">
        <v>485</v>
      </c>
      <c r="C100" s="2">
        <v>0.5</v>
      </c>
      <c r="D100" s="2" t="s">
        <v>292</v>
      </c>
      <c r="E100" s="2">
        <v>0.5</v>
      </c>
      <c r="F100" s="2" t="s">
        <v>390</v>
      </c>
    </row>
    <row r="101" spans="1:6" ht="46.8">
      <c r="A101" s="1" t="s">
        <v>190</v>
      </c>
      <c r="B101" s="2" t="s">
        <v>486</v>
      </c>
      <c r="C101" s="2">
        <v>1</v>
      </c>
      <c r="D101" s="2" t="s">
        <v>293</v>
      </c>
      <c r="E101" s="2">
        <v>1</v>
      </c>
      <c r="F101" s="2" t="s">
        <v>391</v>
      </c>
    </row>
    <row r="102" spans="1:6">
      <c r="C102" s="2">
        <f>AVERAGE(C2:C101)</f>
        <v>0.82916666666666661</v>
      </c>
      <c r="E102" s="2">
        <f>AVERAGE(E2:E101)</f>
        <v>0.84742268041237101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Адреса</vt:lpstr>
      <vt:lpstr>Координаты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Намиг Абдуллаев</dc:creator>
  <cp:lastModifiedBy>Артем Чернобровкин</cp:lastModifiedBy>
  <dcterms:created xsi:type="dcterms:W3CDTF">2025-11-25T12:22:47Z</dcterms:created>
  <dcterms:modified xsi:type="dcterms:W3CDTF">2026-02-07T07:50:57Z</dcterms:modified>
</cp:coreProperties>
</file>